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kovac\OneDrive - Expedia Group\Desktop\BN partners\BN testing\"/>
    </mc:Choice>
  </mc:AlternateContent>
  <xr:revisionPtr revIDLastSave="1" documentId="11_5D723FBF314791025202BCC37E15BE574F864A75" xr6:coauthVersionLast="36" xr6:coauthVersionMax="36" xr10:uidLastSave="{9C6F08B0-CA72-4BE9-AB57-FFD6909F614E}"/>
  <bookViews>
    <workbookView xWindow="0" yWindow="0" windowWidth="28800" windowHeight="12214" xr2:uid="{00000000-000D-0000-FFFF-FFFF00000000}"/>
  </bookViews>
  <sheets>
    <sheet name="Booking Test Cases" sheetId="1" r:id="rId1"/>
    <sheet name="Test Run Status" sheetId="7" r:id="rId2"/>
  </sheets>
  <definedNames>
    <definedName name="_xlnm._FilterDatabase" localSheetId="0" hidden="1">'Booking Test Cases'!$A$1:$L$58</definedName>
    <definedName name="testCaseRange" localSheetId="0">#REF!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5" i="7" l="1"/>
  <c r="C6" i="7" l="1"/>
  <c r="C11" i="7"/>
  <c r="C9" i="7"/>
  <c r="C8" i="7"/>
  <c r="C7" i="7"/>
  <c r="D8" i="7" l="1"/>
  <c r="C10" i="7"/>
  <c r="D10" i="7" s="1"/>
  <c r="D9" i="7"/>
  <c r="D6" i="7"/>
  <c r="D7" i="7"/>
</calcChain>
</file>

<file path=xl/sharedStrings.xml><?xml version="1.0" encoding="utf-8"?>
<sst xmlns="http://schemas.openxmlformats.org/spreadsheetml/2006/main" count="308" uniqueCount="179">
  <si>
    <t>Status</t>
  </si>
  <si>
    <t>Execution
Date</t>
  </si>
  <si>
    <t>Comments</t>
  </si>
  <si>
    <t>Partner Actions</t>
  </si>
  <si>
    <t>Expedia Actions</t>
  </si>
  <si>
    <t>Passed</t>
  </si>
  <si>
    <t>Failed</t>
  </si>
  <si>
    <t>OnHold</t>
  </si>
  <si>
    <t>Total test count</t>
  </si>
  <si>
    <t>Current Count</t>
  </si>
  <si>
    <t>InProgress</t>
  </si>
  <si>
    <t>% Coverage</t>
  </si>
  <si>
    <t>Test Run Progress</t>
  </si>
  <si>
    <t>N/A</t>
  </si>
  <si>
    <t xml:space="preserve">Request ID </t>
  </si>
  <si>
    <t xml:space="preserve">To Do </t>
  </si>
  <si>
    <t xml:space="preserve">ID </t>
  </si>
  <si>
    <t>Description</t>
  </si>
  <si>
    <t>Negative: Create a booking -  
invalid RoomType code</t>
  </si>
  <si>
    <t>Negative: Create a booking  
invalid/not exist RatePlan</t>
  </si>
  <si>
    <t>Negative: Invalid Check-in date
The partner system could not create, modify or cancel the booking because check-in date is not sent in notification or the check-in date is in the past.</t>
  </si>
  <si>
    <t>Negative: Invalid Check-out date
The partner system could not create, modify or cancel the booking because check-out date is not sent in notification or the check-out date is in the past</t>
  </si>
  <si>
    <t>Negative: Invalid guest count
The guest count is missing or invalid</t>
  </si>
  <si>
    <t xml:space="preserve">Negative: Duplicate booking
The partner system detected a duplicate booking based on its duplicate checking logic. </t>
  </si>
  <si>
    <t>Negative:  Credit Card number or Expiration date invalid
Generated by hotel partner for errors encountered when processing the credit card information sent in the xml for booking or modify notifications. 
 - Card number is invalid
- Card effective or expiration date is invalid</t>
  </si>
  <si>
    <t>Prerequisite: 
1. Expedia makes a booking on the test hotel from Expedia shopping path
2. make sure that Expedia and the Partner have different rates in their systems
Verify:
1. The booking must be properly confirmed by partner without error. 
2. Verify that the partner flags that booking as Expedia Collect
3. validate that the partner honors and displays Expedia's rate in CRS/PMS screenshot</t>
  </si>
  <si>
    <t>Prerequisite: 
1. Initial booking must be successful
2. make sure that Expedia and the Partner have different rates in their systems
Verify:
1. The Modification must be properly confirmed by partner without error. 
2. Verify that the partner flags that modification as Expedia Collect
3. validate that the partner honors and displays Expedia's rate in CRS/PMS screenshot</t>
  </si>
  <si>
    <t>Prerequisite: 
1. Expedia makes a booking on the test hotel from Expedia shopping path
3. Initial booking must be successful
Verify:
1. The booking must be properly confirmed by partner without error. 
2. Verify that the partner flags that Modification as Expedia Collect
3. Validate that Partners stores and displays the modification details as sent by Expedia (RoomType change or LOS)</t>
  </si>
  <si>
    <t>Prerequisite: 
1. Expedia makes a Hotel Collectbooking on the test hotel from Expedia shopping path
2. make sure that Expedia and the Partner have different rates in their systems
Verify:
1. The booking must be properly confirmed by partner without error. 
2. Verify that the partner flags that booking as Hotel Collect
3. validate that the partner honors and displays Expedia's rate in CRS/PMS screenshot</t>
  </si>
  <si>
    <t>Prerequisite: 
1. Initial booking must be successful
2. make sure that Expedia and the Partner have different rates in their systems
Verify:
1. The Modification must be properly confirmed by partner without error. 
2. Verify that the partner flags that modification as Hotel Collect
3. validate that the partner honors and displays Expedia's rate in CRS/PMS screenshot</t>
  </si>
  <si>
    <t>Prerequisite: 
Initial booking must be successful
1. Expedia makes a cancellation on the test hotel from Expedia shopping path
2. Make sure the cancellation request sent to partner contains the Source ID="Expedia"
Verify:
1. The cancellation must be properly confirmed by partner without error. 
2. Verify that the partner flags that cancellation as Hotel Collect</t>
  </si>
  <si>
    <t xml:space="preserve">Verify:
1. Partner to confirmed the Expedia Collect booking previously made
2. Confirmation must be returned to Expedia;
3. Provide Expedia the screenshot of the confirmation page on which booking details including the source, confirmation ID and the change made </t>
  </si>
  <si>
    <t>Prerequisite: 
1. The test hotel is originally setup as EVC hotel (VirtualCard is enabled) in Expedia system. 
EVC supported by partner 
2. Initial Booking successful
Steps: 
1. Expedia makes the modification from Expedia shopping path
2. Make sure the modification request sent to partner contains the Source ID="Expedia Affiliate Network"
Verify:
1. The modification must be properly confirmed by partner without error</t>
  </si>
  <si>
    <t>EC</t>
  </si>
  <si>
    <t>Yes</t>
  </si>
  <si>
    <t>No</t>
  </si>
  <si>
    <t>Prerequisite: 
1. The test hotel is originally setup as non EVC hotel (VirtualCard is disabled in Expedia system. 
2. Initial Booking successful
Steps: 
1. Expedia makes the modification from Expedia shopping path
2. Make sure the modification request sent to partner contains the Source ID="Expedia"
Verify:
1. The modification must be properly confirmed by partner without error</t>
  </si>
  <si>
    <t>Prerequisite: 
1.The test hotel is originally setup as non EVC hotel (VirtualCard is disabled in Expedia system. 
2. Initial Booking successful
Steps: 
1. Expedia makes the cancellation from Expedia shopping path
2. Make sure the cancellation request sent to partner contains the Source ID="Expedia"
Verify:
1. The cancellation must be properly confirmed by partner without error</t>
  </si>
  <si>
    <t>Prerequisite: 
Prerequisite: 
1. At least one DRR is available to use in Expedia system, such as
  - stay x nights and get one night free, 
  - or stay x nights and get the last night 50% off;
Steps: 
1. Expedia makes a booking on the test hotel from Expedia shopping path
Verify:
1. The booking must be properly confirmed by partner without error. 
2. Verify that the partner flags that booking as Expedia Collect
3. Expedia to validate that Partner applies the discounted rate that Expedia sends</t>
  </si>
  <si>
    <t>Prerequisite: 
Prerequisite: 
1. At least one DRR is available to use in Expedia system, such as
  - stay x nights and get one night free, 
  - or stay x nights and get the last night 50% off;
2. Expedia to generate a modification for a successul booking previously made
Steps: 
1. Expedia makes a booking on the test hotel from Expedia shopping path
Verify:
1. The booking must be properly confirmed by partner without error. 
2. Verify that the partner flags that booking as Expedia Collect
3. Expedia to validate that Partner applies the discounted rate that Expedia sends</t>
  </si>
  <si>
    <t>Negative: Cancel booking - The booking was already cancelled</t>
  </si>
  <si>
    <r>
      <t xml:space="preserve">Negative: </t>
    </r>
    <r>
      <rPr>
        <b/>
        <sz val="10"/>
        <rFont val="Calibri"/>
        <family val="2"/>
        <scheme val="minor"/>
      </rPr>
      <t>Modify</t>
    </r>
    <r>
      <rPr>
        <sz val="10"/>
        <rFont val="Calibri"/>
        <family val="2"/>
        <scheme val="minor"/>
      </rPr>
      <t xml:space="preserve"> booking  
The partner system could not modify the
booking because it cannot find the original
booking for the confirmation number sent in the modification</t>
    </r>
  </si>
  <si>
    <r>
      <t xml:space="preserve">Negative: </t>
    </r>
    <r>
      <rPr>
        <b/>
        <sz val="10"/>
        <rFont val="Calibri"/>
        <family val="2"/>
        <scheme val="minor"/>
      </rPr>
      <t>Cancel</t>
    </r>
    <r>
      <rPr>
        <sz val="10"/>
        <rFont val="Calibri"/>
        <family val="2"/>
        <scheme val="minor"/>
      </rPr>
      <t xml:space="preserve"> booking  
The partner system could not Cancel the
booking because it cannot find the original
booking for the confirmation number sent in the Cancellation</t>
    </r>
  </si>
  <si>
    <t>Negative: Generate a booking with
 invalid property details</t>
  </si>
  <si>
    <t>Prerequisite: 
1. Expedia booking exists in partner system with status confirmed;
Steps: 
1. Partner cancels the booking in partner system, and make sure the status is Canceled;
Verify:
1. Cancelation fails;
2. Error must be returned to Expedia with correct error code and error details.</t>
  </si>
  <si>
    <t>Prerequisite: 
1. Expedia booking exists in partner system with status confirmed;
Steps: 
1. Expedia Modifies the booking in partner system
Verify:
1. Modification fails;
2. Error must be returned to Expedia with correct error code and error details.</t>
  </si>
  <si>
    <t>Prerequisite: 
1. Expedia booking exists in partner system with status confirmed;
Steps: 
1. Expedia tries to cancel a booking with a different confirmation previously sent
Verify:
1. Cancelation fails;
2. Error must be returned to Expedia with correct error code and error details.</t>
  </si>
  <si>
    <t>Steps: 
1. Expedia tries to send a booking with invalid property details
Verify:
1. Cancelation fails;
2. Error must be returned to Expedia with correct error code and error details.</t>
  </si>
  <si>
    <t>Verify:
1. Expedia generates a booking for a room that the partne's doesn't have on their end
2. Error returns to Expedia with proper error code -The Room Type Code is missing or invalid</t>
  </si>
  <si>
    <t>Verify:
1. Expedia generates a booking for a Rate plan that the partne's doesn't have on their end
2. Error returns to Expedia with proper error code -The Rate Plan Code is missing or invalid</t>
  </si>
  <si>
    <t>Verify:
1. Booking fails;
2. Error returns to Expedia with proper error code - Invalid Check-in date</t>
  </si>
  <si>
    <t>Verify:
1. Booking fails;
2. Error returns to Expedia with proper error code -Invalid Check-out date</t>
  </si>
  <si>
    <t>Verify:
1. Booking fails;
2. Error returns to Expedia with proper error code - Invalid guest count</t>
  </si>
  <si>
    <t>Verify:
1. Booking fails;
2. Error returns to Expedia with proper error code - Duplicate booking</t>
  </si>
  <si>
    <t>Verify:
1. Booking fails;
2. Error returns to Expedia with proper error code - Credit Card number or Expiration date invalid</t>
  </si>
  <si>
    <t>Verify:
1. Partner to confirm that the booking source is properly set to 'Expedia'
2. Confirmation must be returned to Expedia;
3. Provide Expedia the screenshot of the confirmation page on which cancellation details including the source and confirmation ID can be seen and Status = Cancelled</t>
  </si>
  <si>
    <t xml:space="preserve">Verify:
1. Partner to confirm that the booking source is properly set to "Hotels.com"
2. Confirmation must be returned to Expedia;
3. Provide Expedia the screenshot of the confirmation page on which booking details including the source and confirmation ID can be seen. </t>
  </si>
  <si>
    <t xml:space="preserve">Verify:
1. Partner to confirm that the booking source is properly set to 'Expedia Affiliate Network"
2. Confirmation must be returned to Expedia;
3. Provide Expedia the screenshot of the confirmation page on which booking details including the source and confirmation ID can be seen. </t>
  </si>
  <si>
    <t>Verify:
1. Partner to confirm that the booking source is properly set to 'Expedia'
2. Confirmation must be returned to Expedia;
3. Provide Expedia the screenshot of the modification page on which booking details including the source, confirmation ID and all relevant modifications made (hard modification: Change of room types, Length of Stay...)
4. No credit card details will be sent in the modification Request XML</t>
  </si>
  <si>
    <t xml:space="preserve">Verify:
1. Rate amount in Expedia's sytem must be different from partner's rate
2. Partner should accept and confirm the booking; No error in Response
3. Provide Expedia the screenshot of the confirmation page on which booking details including the confirmation ID and Expedia's rate displayed </t>
  </si>
  <si>
    <t xml:space="preserve">Verify:
1. Rate amount in Expedia's sytem must be different from partner's rate
2. Partner should accept and confirm the modification; No error in Response ( Ex: Change guest name, add a special request)
3. Provide Expedia the screenshot of the confirmation page on which modification details including the confirmation ID and Expedia's rate displayed </t>
  </si>
  <si>
    <t xml:space="preserve">Verify:
1. Expedia to generate an Expedia Collect booking
2. Partner accepts and confirms the booking
3.  Expedia to do a Hard Modification. Ex: Change RoomType, modify Lenght of Stay
2. Partner should accept and confirm the modification; No error in Response
3. Provide Expedia the screenshot of the confirmation page on which modification details including the confirmation ID with the new modified details displayed </t>
  </si>
  <si>
    <t>Verify:
1. Confirmation must be returned to Expedia;
2. Provide Expedia the screenshot displaying the details of the value add promotion sent in the booking</t>
  </si>
  <si>
    <r>
      <t xml:space="preserve">Prerequisite: 
1. Expedia to set a Value Add Promotion. Ex: 10% off Spa Package
Steps: 
1. Expedia makes the reservation from Expedia shopping path
Verify:
1. Booking must be confirmed by partner without error. 
2. Verify that the partner displays all the info including the special request 6 for Value Add Promotions: 
</t>
    </r>
    <r>
      <rPr>
        <i/>
        <sz val="10"/>
        <rFont val="Calibri"/>
        <family val="2"/>
        <scheme val="minor"/>
      </rPr>
      <t>&lt;SpecialRequest Language="en-us" RequestCode="6"&gt;
 &lt;Text Formatted="true" Language="en-us"&gt;10% off Spa Package&lt;/Text&gt;
 &lt;/SpecialRequest&gt;</t>
    </r>
  </si>
  <si>
    <t>Verify:
1. Partner must accept multi-room bookings
2. Confirmation must be returned to Expedia for all rooms;
3. Provide Expedia the screenshot displaying the details of the multi-room booking made (each room)</t>
  </si>
  <si>
    <r>
      <t xml:space="preserve">Prerequisite: 
1. Expedia to send a multi-room booking. 2 or 3 rooms based on the availability
Steps: 
1. Expedia makes the reservation from Expedia shopping path
Verify:
1. All rooms must be properly confirmed by partner without error. 
2. Verify that the partner displays all the info including the special request 3 for multi-room booking: 
</t>
    </r>
    <r>
      <rPr>
        <i/>
        <sz val="10"/>
        <rFont val="Calibri"/>
        <family val="2"/>
        <scheme val="minor"/>
      </rPr>
      <t>&lt;/SpecialRequest&gt;
&lt;SpecialRequest Language="en-us" RequestCode="3"&gt;
&lt;Text Formatted="false" Language="en-us"&gt;Multi-room booking. Primary traveler:JONES, LAUREN. 1 of 2 rooms.&lt;/Text&gt;
&lt;/SpecialRequest&gt;</t>
    </r>
  </si>
  <si>
    <t>Verify:
1. Partner to confirm that they will apply the rate that Expedia sends
2. Confirmation must be returned to Expedia;
3. Provide Expedia the screenshot displaying all the booking info (discounted rate) and DRR details</t>
  </si>
  <si>
    <t>Verify:
1. Partner to confirm that they will apply the rate that Expedia sends
2. Confirmation must be returned to Expedia;
3. Provide Expedia the screenshot displaying all the modification info (discounted rate) and DRR details  Ex: Change guest name, add a special request)</t>
  </si>
  <si>
    <t>Verify:
1. Partner to confirm that they will apply the rate that Expedia sends
2. Confirmation must be returned to Expedia;
3. Provide Expedia the screenshot displaying all the modification info (discounted rate) and DRR details (Expedia to do a Hard Modification. Ex: Change RoomType, modify Lenght of Stay)</t>
  </si>
  <si>
    <t>Verify:
1. Partner to confirm that the booking source is properly set to 'Expedia'
2. Confirmation must be returned to Expedia;
3. Provide Expedia the screenshot of the confirmation page on which booking details including the source and confirmation ID can be seen. 
4. No credit card details will be sent in the Booking Request XML</t>
  </si>
  <si>
    <t>Verify:
1. Partner to confirm that the booking source is properly set to 'Expedia'
2. Confirmation must be returned to Expedia;
3. Provide Expedia the screenshot of the modification page on which booking details including the source, confirmation ID and all relevant modifications made
4. No credit card details will be sent in the modification Request XML</t>
  </si>
  <si>
    <t>Verify:
1. Partner to confirm that the booking source is properly set to 'Expedia'
2. Confirmation must be returned to Expedia;
3. Provide Expedia the screenshot of the cancellation page on which booking details including the source and confirmation ID can be seen and Status = Cancelled</t>
  </si>
  <si>
    <t>Verify:
1. Partner to confirm that the booking source is properly set to "Hotels.com"
2. Confirmation must be returned to Expedia;
3. Provide Expedia the screenshot of the confirmation page on which booking details including the source and confirmation ID can be seen. 
4. No credit card details will be sent in the Booking Request XML</t>
  </si>
  <si>
    <t>Verify:
1. Partner to confirm that the booking source is properly set to 'Expedia Affiliate Network"
2. Confirmation must be returned to Expedia;
3. Provide Expedia the screenshot of the confirmation page on which booking details including the source and confirmation ID can be seen. 
4. No credit card details will be sent in the Booking Request XML</t>
  </si>
  <si>
    <t>Verify:
1. Partner to confirm that they will apply the rate that Expedia sends
2. Confirmation must be returned to Expedia;
3. Provide Expedia the screenshot displaying all the modification info (discounted rate) and DRR details. ( Ex: Change guest name, add a special request)</t>
  </si>
  <si>
    <t xml:space="preserve">Verify:
1. Partner to confirm that the booking source is properly set to 'Expedia'
2. Confirmation must be returned to Expedia;
3. Provide Expedia the screenshot of the confirmation page on which booking details including the source and confirmation ID can be seen. </t>
  </si>
  <si>
    <t>Verify:
1. Partner to confirm that the booking source is properly set to 'Expedia'
2. Confirmation must be returned to Expedia;
3. Provide Expedia the screenshot of the confirmation page on which booking details including the source and confirmation ID can be seen. Status = Cancelled</t>
  </si>
  <si>
    <t>Verify:
1. Confirmation must be returned to Expedia;
2. Provide Expedia the screenshot displaying the details of free text that the guest put</t>
  </si>
  <si>
    <r>
      <t xml:space="preserve">Prerequisite: 
Prerequisite: 
1. Expedia to set a Value Add Promotion. Ex: 10% off Spa Package
Steps: 
1. Expedia makes the reservation from Expedia shopping path
Verify:
1. Booking must be confirmed by partner without error. 
2. Verify that the partner displays all the info including the special request 6 for Value Add Promotions: 
</t>
    </r>
    <r>
      <rPr>
        <i/>
        <sz val="10"/>
        <rFont val="Calibri"/>
        <family val="2"/>
        <scheme val="minor"/>
      </rPr>
      <t>&lt;SpecialRequest Language="en-us" RequestCode="6"&gt;
 &lt;Text Formatted="true" Language="en-us"&gt;10% off Spa Package&lt;/Text&gt;
 &lt;/SpecialRequest&gt;</t>
    </r>
  </si>
  <si>
    <t>Verify:
1. Partner to confirm that they accept multi-room bookings
2. Confirmation must be returned to Expedia;
3. Provide Expedia the screenshot displaying the details of the multi-room booking made</t>
  </si>
  <si>
    <r>
      <t xml:space="preserve">Prerequisite: 
Prerequisite: 
1. Expedia to send a multi-room booking. 2 or 3 rooms based on the availability
Steps: 
1. Expedia makes the reservation from Expedia shopping path
Verify:
1. All rooms must be properly confirmed by partner without error. 
2. Verify that the partner displays all the info including the special request 3 for multi-room booking: 
</t>
    </r>
    <r>
      <rPr>
        <i/>
        <sz val="10"/>
        <rFont val="Calibri"/>
        <family val="2"/>
        <scheme val="minor"/>
      </rPr>
      <t>&lt;/SpecialRequest&gt;
&lt;SpecialRequest Language="en-us" RequestCode="3"&gt;
&lt;Text Formatted="false" Language="en-us"&gt;Multi-room booking. Primary traveler:JONES, LAUREN. 1 of 2 rooms.&lt;/Text&gt;
&lt;/SpecialRequest&gt;</t>
    </r>
  </si>
  <si>
    <t>Prerequisite: 
1. Expedia to set Extra person fees at the rate plan level
2. Expedia makes a hotel collect booking on the test hotel from Expedia shopping path
Verify:
1. The booking must be properly confirmed by partner without error. 
2. Verify that the partner flags that booking as Hotel Collect and stores the Credit Card payment details
3. Validate that the partner saves and displays the Extra person fees sent in the XML:
&lt;AdditionalGuestAmounts&gt;
        &lt;AdditionalGuestAmount AgeQualifyingCode="10"&gt;
       &lt;Amount AmountBeforeTax="30.00" CurrencyCode="USD"/&gt;
&lt;/AdditionalGuestAmount&gt;</t>
  </si>
  <si>
    <t>Steps: 
Generate a booking with invalid property details
Verify:
1. Booking fails;
2. Expedia confirms error and error details are returned from partner. 
Note: If the booking and cancellation request are made through EC (Expedia connect - BN), the error code is '3202 - The property Identifier is missing or invalid</t>
  </si>
  <si>
    <t xml:space="preserve">Prerequisite: 
1. One room type code with available inventory exists in Expedia system, but does not exist in partner system: roomType code is not mapped (such as roomtype code is modified on either ends, Expedia or partner end)
Steps: 
1. Expedia makes a booking on the room with the invalid (not mapped) room type code;
Verify:
1. Booking must not be confirmed by partner;
2. Expedia and partner confirm error returned with proper error code. 
Note: 
a) For booking notification interface: If the booking is made through booking notification (Expedia connect - BN), the error code is '3203 - The Room Type Code is missing or invalid'
</t>
  </si>
  <si>
    <t>Prerequisite: 
1. The test hotel is originally setup as non EVC hotel (VirtualCard is disabled) in Expedia system.
2. Make sure that Expedia and the Partner have different rates in their systems
Verify:
1. The booking must be properly confirmed by partner without error. 
2. Verify that the partner flags that booking as Expedia Collect
3. validate that the partner honors and displays Expedia's rate in CRS/PMS screenshot</t>
  </si>
  <si>
    <t xml:space="preserve">Soft Modification DRR enabled for a rate plan
 Expedia Collect
 EVC Disabled </t>
  </si>
  <si>
    <t>Hard Modification DRR enabled for a rate plan
 Expedia Collect
 EVC Disabled</t>
  </si>
  <si>
    <t xml:space="preserve">Verify:
1. Partner to confirm that the booking source is properly set to 'Expedia' and Expedia to generate an Hotel Collect booking for a Tax Inclusive Property
2. Confirmation must be returned to Expedia;
3. Provide Expedia the screenshot of the confirmation page on which booking details including the source and confirmation ID can be seen. </t>
  </si>
  <si>
    <t xml:space="preserve">Book Tax inclusive
 Hotel Collect 
 POS "Expedia" </t>
  </si>
  <si>
    <t>HC</t>
  </si>
  <si>
    <t>NA</t>
  </si>
  <si>
    <t>Expedia Collect EVC Enabled (Yes/No)</t>
  </si>
  <si>
    <t xml:space="preserve">Soft Modification 
 Hotel Collect 
 POS "Expedia"
 Tax Inclusive </t>
  </si>
  <si>
    <t>Verify:
1. Partner to confirm that the booking source is properly set to 'Expedia'
2. Confirmation must be returned to Expedia;
3. Provide Expedia the screenshot of the confirmation page on which booking details including the source and confirmation ID can be seen. (Modification -Change in name, phone number, special request...)</t>
  </si>
  <si>
    <t xml:space="preserve">Book POS "Hotels.com" &amp; Extra Person Fee
 Hotel Collect </t>
  </si>
  <si>
    <t>Verify:
1. Expedia to send an Hotel Collect booking with some Extra person fees from "Hotels.com" shopping path
2. Confirmation must be returned to Expedia;
3. Provide Expedia the screenshot of the confirmation page on which booking details including the confirmation ID and the Extra person fees
4. Screenshot provied by the partner should reflect the extra person charges</t>
  </si>
  <si>
    <t xml:space="preserve">Modify (free text special request)
 Hotel Collect 
 Book POS "Hotels.com" &amp; Extra Person Fee </t>
  </si>
  <si>
    <t xml:space="preserve">Book Rate Override
 Hotel Collect </t>
  </si>
  <si>
    <t xml:space="preserve">Soft Modification Rate Override 
 Hotel Collect </t>
  </si>
  <si>
    <t xml:space="preserve">Verify:
1. Rate amount in Expedia's sytem must be different from partner's rate
2. Partner should accept and confirm the modification; No error in Response (modification: Chnage in name, phone number, insertion of special comment)
3. Provide Expedia the screenshot of the confirmation page on which modification details including the confirmation ID and Expedia's rate displayed </t>
  </si>
  <si>
    <t xml:space="preserve">Hard Modification Rate Override 
 Hotel Collect </t>
  </si>
  <si>
    <t>Verify:
1. Rate amount in Expedia's sytem must be different from partner's rate
2. Partner should accept and confirm the modification; No error in Response
3. Provide Expedia the screenshot of the confirmation page on which modification details including the confirmation ID and Expedia's rate displayed  (Modification: Change in room type, length of stay....)</t>
  </si>
  <si>
    <t xml:space="preserve">Cancellation Rate Override 
 Hotel Collect </t>
  </si>
  <si>
    <t xml:space="preserve">Hotel Collect 
 Value Add Promotions </t>
  </si>
  <si>
    <t xml:space="preserve"> Hotel Collect Booking
Cancellation
 POS "Expedia"</t>
  </si>
  <si>
    <t xml:space="preserve">Hotel Collect 
 Multi-Room Booking </t>
  </si>
  <si>
    <t>Expedia Collect (EC) or Hotel Collect (HC) or Negative Scenario</t>
  </si>
  <si>
    <t>Negative Scenario</t>
  </si>
  <si>
    <r>
      <t xml:space="preserve">Prerequisite: 
1. A rate plan code with inventory exists in Expedia system, but does not exist in partner system: RatePlan code is not mapped (RatePlan code can be modified on either ends, Expedia or partner end)
Steps: 
1. Expedia makes a booking on the rate plan code which does not exist in partner system;
Verify:
1. Booking must not be confirmed by partner;
2. Expedia and partner confirm error returned with proper error code. 
</t>
    </r>
    <r>
      <rPr>
        <i/>
        <sz val="10"/>
        <rFont val="Calibri"/>
        <family val="2"/>
        <scheme val="minor"/>
      </rPr>
      <t>Note:</t>
    </r>
    <r>
      <rPr>
        <sz val="10"/>
        <rFont val="Calibri"/>
        <family val="2"/>
        <scheme val="minor"/>
      </rPr>
      <t xml:space="preserve"> 
a) If the booking is made through booking notification (BN), the error code is '3204 - The Rate Plan Code is missing or invalid'
</t>
    </r>
    <r>
      <rPr>
        <sz val="10"/>
        <color rgb="FF0000CC"/>
        <rFont val="Calibri"/>
        <family val="2"/>
        <scheme val="minor"/>
      </rPr>
      <t/>
    </r>
  </si>
  <si>
    <r>
      <t xml:space="preserve">Prerequisite: 
1. The max occupancy for a specific room is grater than what the partner has on their end
Steps: 
1. Expedia makes a booking on a room where the partner has a lower guest count than Expedia;
Verify:
1. Booking must not be confirmed by partner;
2. Expedia and partner confirm error returned with proper error code. 
</t>
    </r>
    <r>
      <rPr>
        <i/>
        <sz val="10"/>
        <rFont val="Calibri"/>
        <family val="2"/>
        <scheme val="minor"/>
      </rPr>
      <t>Note:</t>
    </r>
    <r>
      <rPr>
        <sz val="10"/>
        <rFont val="Calibri"/>
        <family val="2"/>
        <scheme val="minor"/>
      </rPr>
      <t xml:space="preserve"> 
a) If the booking is made through booking notification (BN), the error code is '3208 - The guest count is missing or invalid'
</t>
    </r>
  </si>
  <si>
    <r>
      <t xml:space="preserve">Steps 
1. Expedia to send a booking (From PTS tool is needed) with invalid Check-out date
Verify:
1. Booking must not be confirmed by partner;
2. Expedia and partner confirm error returned with proper error code. 
</t>
    </r>
    <r>
      <rPr>
        <i/>
        <sz val="10"/>
        <rFont val="Calibri"/>
        <family val="2"/>
        <scheme val="minor"/>
      </rPr>
      <t>Note:</t>
    </r>
    <r>
      <rPr>
        <sz val="10"/>
        <rFont val="Calibri"/>
        <family val="2"/>
        <scheme val="minor"/>
      </rPr>
      <t xml:space="preserve"> 
a) If the booking is made through booking notification (BN), the error code is '3207 - The Check-out date is missing or invalid'
</t>
    </r>
    <r>
      <rPr>
        <sz val="10"/>
        <color theme="4"/>
        <rFont val="Calibri"/>
        <family val="2"/>
        <scheme val="minor"/>
      </rPr>
      <t xml:space="preserve">Alternatively partner can accept the booking. 
</t>
    </r>
  </si>
  <si>
    <r>
      <t xml:space="preserve">Steps 
1. Expedia to send a booking (From PTS tool is needed) with invalid Check-in date
Verify:
1. Booking must not be confirmed by partner;
2. Expedia and partner confirm error returned with proper error code. 
</t>
    </r>
    <r>
      <rPr>
        <i/>
        <sz val="10"/>
        <rFont val="Calibri"/>
        <family val="2"/>
        <scheme val="minor"/>
      </rPr>
      <t>Note:</t>
    </r>
    <r>
      <rPr>
        <sz val="10"/>
        <rFont val="Calibri"/>
        <family val="2"/>
        <scheme val="minor"/>
      </rPr>
      <t xml:space="preserve"> 
a) If the booking is made through booking notification (BN), the error code is '3206 - The Check-in date is missing or invalid'
</t>
    </r>
    <r>
      <rPr>
        <sz val="10"/>
        <color theme="4"/>
        <rFont val="Calibri"/>
        <family val="2"/>
        <scheme val="minor"/>
      </rPr>
      <t xml:space="preserve">Alternatively partner can accept the booking. 
</t>
    </r>
  </si>
  <si>
    <r>
      <t xml:space="preserve">Prerequisite: 
1. A booking made by Expedia on the test hotel and confrimed by partner exists but does not exist in partner system (partner canceled it); 
2. The booking must be refundable (rateplan is refundable)
Steps: 
1.Expedia cancels the existing booking which has been canceled by partner. 
Verify:
1. Booking cancelation fails;
2. Expedia confirms error and error details are returned from partner. 
Note: If the booking and cancellation request are made through EC (Expedia connect - BN), the error code is '3200 - The booking was already cancelled'
</t>
    </r>
    <r>
      <rPr>
        <sz val="10"/>
        <color rgb="FF0070C0"/>
        <rFont val="Calibri"/>
        <family val="2"/>
        <scheme val="minor"/>
      </rPr>
      <t xml:space="preserve">Alternatively partner can accept the cancellation </t>
    </r>
    <r>
      <rPr>
        <sz val="10"/>
        <rFont val="Calibri"/>
        <family val="2"/>
        <scheme val="minor"/>
      </rPr>
      <t xml:space="preserve">
</t>
    </r>
  </si>
  <si>
    <r>
      <t xml:space="preserve">Steps: 
1. Expedia tries to make a booking with an invalid Credit card type or with a credit card that already expired (use PTS tool if needed)
Verify:
1. Booking must not be confirmed by partner;
2. Expedia and partner confirm error returned with proper error code. 
</t>
    </r>
    <r>
      <rPr>
        <i/>
        <sz val="10"/>
        <rFont val="Calibri"/>
        <family val="2"/>
        <scheme val="minor"/>
      </rPr>
      <t>Note:</t>
    </r>
    <r>
      <rPr>
        <sz val="10"/>
        <rFont val="Calibri"/>
        <family val="2"/>
        <scheme val="minor"/>
      </rPr>
      <t xml:space="preserve"> 
a) If the booking is made through booking notification (BN), the error code is '3300 - Unable to process the credit card information'
</t>
    </r>
    <r>
      <rPr>
        <sz val="10"/>
        <color theme="4"/>
        <rFont val="Calibri"/>
        <family val="2"/>
        <scheme val="minor"/>
      </rPr>
      <t xml:space="preserve">Alternatively partner can accept the booking and modifications </t>
    </r>
    <r>
      <rPr>
        <sz val="10"/>
        <rFont val="Calibri"/>
        <family val="2"/>
        <scheme val="minor"/>
      </rPr>
      <t xml:space="preserve">
</t>
    </r>
  </si>
  <si>
    <r>
      <t>Verify:
1. Partner to confirm that the booking source is properly set to 'Expedia'. Tax Inclusive Property.</t>
    </r>
    <r>
      <rPr>
        <sz val="10"/>
        <color rgb="FF0000CC"/>
        <rFont val="Calibri"/>
        <family val="2"/>
        <scheme val="minor"/>
      </rPr>
      <t xml:space="preserve"> </t>
    </r>
    <r>
      <rPr>
        <sz val="10"/>
        <rFont val="Calibri"/>
        <family val="2"/>
        <scheme val="minor"/>
      </rPr>
      <t xml:space="preserve">
2. Confirmation must be returned to Expedia;
3. Provide Expedia the screenshot of the confirmation page on which booking details including the source and confirmation ID can be seen. 
</t>
    </r>
  </si>
  <si>
    <t xml:space="preserve">DRR enabled for a rate plan
 Expedia Collect
 EVC Disabled 
</t>
  </si>
  <si>
    <t xml:space="preserve">Book Tax inclusive 
 Expedia Collect 
 EVC enabled
 POS "Expedia"
</t>
  </si>
  <si>
    <t xml:space="preserve">Soft Modification 
 Expedia Collect 
 EVC enabled
 POS "Expedia"
 Tax Inclusive 
</t>
  </si>
  <si>
    <t xml:space="preserve">Cancellation 
 Expedia Collect 
 EVC enabled
 POS "Expedia"
 Tax inclusive 
</t>
  </si>
  <si>
    <t xml:space="preserve">Book POS "Hotels.com" &amp; Extra Person Fee
 Expedia Collect 
 EVC enabled 
</t>
  </si>
  <si>
    <r>
      <t xml:space="preserve">Modify (free text special request)
 Expedia Collect 
 EVC enabled
 POS "Hotels.com" &amp; Extra Person Fee 
</t>
    </r>
    <r>
      <rPr>
        <sz val="10"/>
        <rFont val="Calibri"/>
        <family val="2"/>
        <scheme val="minor"/>
      </rPr>
      <t xml:space="preserve">
</t>
    </r>
  </si>
  <si>
    <r>
      <t xml:space="preserve"> Expedia Collect 
EVC enabled
POS "Expedia Affiliate Network"
</t>
    </r>
    <r>
      <rPr>
        <sz val="10"/>
        <rFont val="Calibri"/>
        <family val="2"/>
        <scheme val="minor"/>
      </rPr>
      <t xml:space="preserve">
</t>
    </r>
  </si>
  <si>
    <r>
      <t xml:space="preserve">Hard Modification 
 Expedia Collect
 EVC Enabled
 POS "Expedia Affiliate Network"
 Tax Exclusive 
</t>
    </r>
    <r>
      <rPr>
        <sz val="10"/>
        <rFont val="Calibri"/>
        <family val="2"/>
        <scheme val="minor"/>
      </rPr>
      <t xml:space="preserve">
</t>
    </r>
  </si>
  <si>
    <t xml:space="preserve">Book Rate Override
 Expedia Collect 
 EVC enabled 
</t>
  </si>
  <si>
    <t xml:space="preserve">Soft Modification Rate Override 
 Expedia Collect 
 EVC enabled 
</t>
  </si>
  <si>
    <t xml:space="preserve">Hard Modification Rate Override 
 Expedia Collect 
 EVC enabled 
</t>
  </si>
  <si>
    <t xml:space="preserve">Cancellation Rate Override 
 Expedia Collect 
 EVC enabled 
</t>
  </si>
  <si>
    <t xml:space="preserve">Value Add Promotions 
 Expedia Collect 
 EVC enabled
</t>
  </si>
  <si>
    <t xml:space="preserve">Book Multiroom 
 Expedia Collect 
 EVC enabled 
</t>
  </si>
  <si>
    <t xml:space="preserve">Book Tax inclusive
 Expedia Collect 
 EVC Disabled 
 POS "Expedia"
</t>
  </si>
  <si>
    <t xml:space="preserve">Soft Modification 
 Expedia Collect 
 EVC Disabled 
 POS "Expedia"
 Tax Inclusive 
</t>
  </si>
  <si>
    <t xml:space="preserve">Cancellation 
 Expedia Collect 
 EVC Disabled
 POS "Expedia"
 Tax inclusive 
</t>
  </si>
  <si>
    <r>
      <t xml:space="preserve">Modify (free text special request)
 Expedia Collect 
 EVC Disabled
 POS "Hotels.com" &amp; Extra Person Fee
</t>
    </r>
    <r>
      <rPr>
        <sz val="10"/>
        <rFont val="Calibri"/>
        <family val="2"/>
        <scheme val="minor"/>
      </rPr>
      <t xml:space="preserve">
</t>
    </r>
  </si>
  <si>
    <r>
      <t xml:space="preserve">Book POS "Expedia Affiliate Network"
 Tax Exclusive 
 Expedia Collect 
 EVC Disabled 
</t>
    </r>
    <r>
      <rPr>
        <sz val="10"/>
        <rFont val="Calibri"/>
        <family val="2"/>
        <scheme val="minor"/>
      </rPr>
      <t xml:space="preserve">
</t>
    </r>
  </si>
  <si>
    <t xml:space="preserve">Hard Modification 
 Expedia Collect
 EVC Disabled
 POS "Expedia Affiliate Network"
 Tax Exclusive
</t>
  </si>
  <si>
    <t xml:space="preserve">Book Rate Override
 Expedia Collect 
 EVC Disabled
</t>
  </si>
  <si>
    <t xml:space="preserve">Soft Modification Rate Override 
 Expedia Collect 
 EVC Disabled 
</t>
  </si>
  <si>
    <t xml:space="preserve">Hard Modification Rate Override 
 Expedia Collect 
 EVC Disabled 
</t>
  </si>
  <si>
    <r>
      <t xml:space="preserve">Cancellation Rate Override 
 Expedia Collect 
 EVC Disabled 
</t>
    </r>
    <r>
      <rPr>
        <sz val="10"/>
        <rFont val="Calibri"/>
        <family val="2"/>
        <scheme val="minor"/>
      </rPr>
      <t xml:space="preserve">
</t>
    </r>
  </si>
  <si>
    <r>
      <t xml:space="preserve">Value Add Promotions 
 Expedia Collect 
 EVC Disabled 
</t>
    </r>
    <r>
      <rPr>
        <sz val="10"/>
        <rFont val="Calibri"/>
        <family val="2"/>
        <scheme val="minor"/>
      </rPr>
      <t xml:space="preserve">
</t>
    </r>
  </si>
  <si>
    <t xml:space="preserve">Book Multiroom 
 Expedia Collect 
 EVC Disabled 
</t>
  </si>
  <si>
    <t xml:space="preserve">Book POS "Hotels.com" &amp; Extra Person Fee
 Expedia Collect 
 EVC Disabled 
</t>
  </si>
  <si>
    <t>Partner use TLS1.2</t>
  </si>
  <si>
    <t>Verify:
The Cancellation is not successful
The partner system could not Cancel the booking because it cannot find the original booking for the confirmation number sent in the Cancellation
Note: The error code is '3201-The supplier confirmation number is missing or invalid'</t>
  </si>
  <si>
    <t>Prerequisite: 
The test hotel is originally setup as non EVC hotel (VirtualCard is disabled in Expedia system. 
Steps: 
1. Expedia makes a booking on the test hotel from Expedia shopping path
Verify:
1. The booking must be properly confirmed by partner without error. 
2. Verify that the partner flags that booking as Expedia Collect</t>
  </si>
  <si>
    <t>Prerequisite: 
1.The test hotel is originally setup as non EVC hotel (VirtualCard is disabled in Expedia system and from Hotels.com shopping path
2. Make sure the booking request sent to partner contains the Source ID="Hotels.com"
Verify:
1. The booking must be properly confirmed by partner without error. 
2. Verify that the partner flags that booking as Expedia Collect</t>
  </si>
  <si>
    <t xml:space="preserve">Prerequisite: 
The test hotel is originally setup as non EVC hotel (VirtualCard is disabled) in Expedia system.
Steps: 
1. Expedia makes a booking on the test hotel from Expedia shopping path
2. Make sure the booking request sent to partner contains the Source ID="Hotels.com"
Verify:
1. The Modification must be properly confirmed by partner without error. 
2. Verify that the partner flags that the modification as Expedia Collect 
</t>
  </si>
  <si>
    <t>Prerequisite: 
The test hotel is originally setup as non EVC hotel (VirtualCard is disabled) in Expedia system.
2. Make sure the booking request sent to partner contains the Source ID="Expedia Affiliate Network"
Verify:
1. The booking must be properly confirmed by partner without error. 
3. Verify that the partner flags that booking as Expedia Collect</t>
  </si>
  <si>
    <t>Prerequisite: 
The test hotel is originally setup as non EVC hotel (VirtualCard is disabled) in Expedia system.
Steps: 
1. Expedia makes a booking on the test hotel from Expedia shopping path
2. Make sure the booking request sent to partner contains the Source ID="Expedia Affiliate Network"
Verify:
1. The booking must be properly confirmed by partner without error. 
2. Verify that the partner flags that booking as Expedia Collect (POS "Expedia Affiliate Network")</t>
  </si>
  <si>
    <t>Prerequisite: 
1. Initial booking must be successful
2. make sure that Expedia and the Partner have different rates in their systems
Verify:
1. The Modification must be properly confirmed by partner without error. 
2. Verify that the partner flags that modification as Expedia Collect
3. Validate that the partner honors and displays Expedia's rate in CRS/PMS screenshot</t>
  </si>
  <si>
    <t>Prerequisite: 
Initial booking is successful
Steps: 
1. Expedia makes a cancellation on the test hotel from Expedia shopping path
2. Make sure the cancellation request sent to partner contains the Source ID="Expedia"
Verify:
1. The Cancellation must be properly confirmed by partner without error. 
2. Verify that the partner flags that cancellation as Expedia Collect</t>
  </si>
  <si>
    <t>Test result files
xml</t>
  </si>
  <si>
    <t>Test result files screenshot</t>
  </si>
  <si>
    <r>
      <t xml:space="preserve">Prerequisite: 
1. Initial booking is successful
Steps: 
1. Expedia tries to send again the same booking with same ReservationID and details (use PTS tool if needed)
Verify:
1. Booking must not be confirmed by partner;
2. Expedia and partner confirm error returned with proper error code. 
</t>
    </r>
    <r>
      <rPr>
        <i/>
        <sz val="10"/>
        <rFont val="Calibri"/>
        <family val="2"/>
        <scheme val="minor"/>
      </rPr>
      <t>Note:</t>
    </r>
    <r>
      <rPr>
        <sz val="10"/>
        <rFont val="Calibri"/>
        <family val="2"/>
        <scheme val="minor"/>
      </rPr>
      <t xml:space="preserve"> 
a) If the booking is made through booking notification (BN), the error code is '3209 - Duplicate booking '
</t>
    </r>
    <r>
      <rPr>
        <sz val="10"/>
        <rFont val="Calibri"/>
        <family val="2"/>
        <scheme val="minor"/>
      </rPr>
      <t xml:space="preserve">
</t>
    </r>
  </si>
  <si>
    <r>
      <t xml:space="preserve">Promotion enabled for a rate plan
 Expedia Collect
 EVC enabled 
</t>
    </r>
    <r>
      <rPr>
        <sz val="10"/>
        <rFont val="Calibri"/>
        <family val="2"/>
        <scheme val="minor"/>
      </rPr>
      <t xml:space="preserve">
</t>
    </r>
  </si>
  <si>
    <t>Verify:
1. Partner to confirm that they will apply the rate that Expedia sends
2. Confirmation must be returned to Expedia;
3. Provide Expedia the screenshot displaying all the booking info (discounted rate) and Promotion details</t>
  </si>
  <si>
    <t xml:space="preserve">Soft Modification Promotion enabled for a rate plan
 Expedia Collect
 EVC enabled 
</t>
  </si>
  <si>
    <t>Prerequisite: 
Prerequisite: 
1. At least one Promotion is available to use in Expedia system, such as
  - stay x nights and get one night free, 
  - or stay x nights and get the last night 50% off;
Steps: 
1. Expedia makes a booking on the test hotel from Expedia shopping path
Verify:
1. The booking must be properly confirmed by partner without error. 
2. Verify that the partner flags that booking as Expedia Collect
3. Expedia to validate that Partner applies the discounted rate that Expedia sends</t>
  </si>
  <si>
    <t>Prerequisite: 
Prerequisite: 
1. At least one Promotion is available to use in Expedia system, such as
  - stay x nights and get one night free, 
  - or stay x nights and get the last night 50% off;
2. Expedia to generate a modification for a successul booking previously made
Steps: 
1. Expedia makes a booking on the test hotel from Expedia shopping path
Verify:
1. The booking must be properly confirmed by partner without error. 
2. Verify that the partner flags that booking as Expedia Collect
3. Expedia to validate that Partner applies the discounted rate that Expedia sends</t>
  </si>
  <si>
    <r>
      <t xml:space="preserve">Hard Modification Promotion enabled for a rate plan
 Expedia Collect
 EVC enabled
</t>
    </r>
    <r>
      <rPr>
        <sz val="10"/>
        <rFont val="Calibri"/>
        <family val="2"/>
        <scheme val="minor"/>
      </rPr>
      <t xml:space="preserve">
</t>
    </r>
  </si>
  <si>
    <t xml:space="preserve">Promotion enabled for a rate plan
 Hotel Collect </t>
  </si>
  <si>
    <t xml:space="preserve">Soft Modification promotion enabled for a rate plan
 Hotel Collect </t>
  </si>
  <si>
    <t>Verify:
1. Partner to confirm that they will apply the rate that Expedia sends
2. Confirmation must be returned to Expedia;
3. Provide Expedia the screenshot displaying all the booking info and Promotion details</t>
  </si>
  <si>
    <t>Verify:
1. Partner to confirm that they will apply the rate that Expedia sends
2. Confirmation must be returned to Expedia;
3. Provide Expedia the screenshot displaying all the booking info and Promotion details. Modification: Change in name, phone number etc...</t>
  </si>
  <si>
    <t>Prerequisite: 
Prerequisite: 
1. At least one Promotion is available to use in Expedia system, such as
  - stay x nights and get one night free, 
  - or stay x nights and get the last night 50% off;
Steps: 
1. Expedia makes a booking on the test hotel from Expedia shopping path
Verify:
1. The booking must be properly confirmed by partner without error. 
2. Booking confirmation ID must be returned by partner in OTA_HotelResNotifRS. 
3. Verify that the partner flags that booking as Hotel Collect and stores the Credit Card payment details
4. Expedia to validate that Partner applies the discounted rate that Expedia sends</t>
  </si>
  <si>
    <t xml:space="preserve">Hard Modification Promotin enabled for a rate plan
 Hotel Collect </t>
  </si>
  <si>
    <t>Verify:
1. Partner to confirm that they will apply the rate that Expedia sends
2. Confirmation must be returned to Expedia;
3. Provide Expedia the screenshot displaying all the booking info and Promotion details. Change in room type, length in stay….</t>
  </si>
  <si>
    <t xml:space="preserve">Prerequisite: 
The test hotel is originally setup as EVC hotel (VirtualCard is enabled) in Expedia system. 
EVC supported by partner and tax Inclusive Property
Steps: 
1. Expedia makes a booking on the test hotel from Expedia shopping path
2. Make sure the booking request sent to partner contains the Source ID="Expedia"
Verify:
1. The booking must be properly confirmed by partner without error. 
2. Verify that the partner flags that booking as Expedia Collect and stores the Credit Card payment details
3. Validate that Partners stores Special Request 5 for the payment instruction
For RequestCode=5, this element will contain a special instruction for payment by
credit card : Text for EVC:"Payment info will be populated here"
</t>
  </si>
  <si>
    <t>Prerequisite: 
The test hotel is originally setup as EVC hotel (VirtualCard is enabled) in Expedia system.
EVC supported by partner and tax inclusive
Steps: 
1. Expedia makes a booking on the test hotel from Expedia shopping path
2. Make sure the booking request sent to partner contains the Source ID="Expedia"
Verify:
1. The Modification must be properly confirmed by partner without error. 
2. Verify that the partner flags that the modification as Expedia Collect and stores the Credit Card payment details
3. Validate that Partners stores Special Request 5 for the payment instruction
For RequestCode=5, this element will contain a special instruction for payment by
credit card depending on Expedia Collect EVC: Text for EVC:"Payment info will be populated here"</t>
  </si>
  <si>
    <t>Prerequisite: 
Initial booking is successful
The test hotel is originally setup as EVC hotel (VirtualCard is enabled) in Expedia system.
EVC supported by partner  and tax inclusive
Steps: 
1. Expedia makes a cancellation on the test hotel from Expedia shopping path
2. Make sure the cancellation request sent to partner contains the Source ID="Expedia"
Verify:
1. The Cancellation must be properly confirmed by partner without error. 
2. Verify that the partner flags that cancellation as Expedia Collect and stores the Credit Card payment details
3. Validate that Partners stores Special Request 5 for the payment instruction
For RequestCode=5, this element will contain a special instruction for payment by
credit card depending on Expedia Collect EVC: Text for EVC: "Payment info will be populated here"</t>
  </si>
  <si>
    <t>Prerequisite: 
The test hotel is originally setup as EVC hotel (VirtualCard is enabled) in Expedia system. EVC supported by partner 
Steps: 
1. Make sure the booking request sent to partner contains the Source ID="Hotels.com"
Verify:
1. The booking must be properly confirmed by partner without error. 
2. Verify that the partner flags that booking as Expedia Collect, POS = Hotels.com and stores the Credit Card payment details
For RequestCode=5, this element will contain a special instruction for payment by
credit card depending on Expedia Collect EVC: Text for EVC: "Payment info will be populated here"</t>
  </si>
  <si>
    <t>Prerequisite: 
The test hotel is originally setup as EVC hotel (VirtualCard is enabled) in Expedia system.
EVC supported by partner 
Steps: 
1. Expedia makes a booking on the test hotel from Expedia shopping path
2. Make sure the booking request sent to partner contains the Source ID="Hotels.com"                                                                                                                                                                                                                           3. Inlcudes special_request" value="REQUESTING CHANGE ROOM FROM OCEAN VIEW TO GARDEN VIEW"/&gt;
Verify:
1. The Modification must be properly confirmed by partner without error. 
2. Verify that the partner flags that the modification as Expedia Collect and stores the Credit Card payment details
3. Validate that Partners stores Special Request 5 for the payment instruction
For RequestCode=5, this element will contain a special instruction for payment by
credit card depending on Expedia Collect EVC: Text for EVC:"Payment info will be populated here"</t>
  </si>
  <si>
    <t>Prerequisite: 
The test hotel is originally setup as EVC hotel (VirtualCard is enabled) in Expedia system. 
EVC supported by partner 
Steps: 
1. Expedia makes a booking on the test hotel from Expedia shopping path
2. Make sure the booking request sent to partner contains the Source ID="Expedia Affiliate Network"
Verify:
1. The booking must be properly confirmed by partner without error. 
2. Verify that the partner flags that booking as Expedia Collect (POS "Expedia Affiliate Network") and stores the Credit Card payment details
For RequestCode=5, this element will contain a special instruction for payment by
credit card depending on Expedia Collect EVC: Text for EVC: "Payment info will be populated here"</t>
  </si>
  <si>
    <t>Prerequisite: 
Initial booking is successful
The test hotel is originally setup as EVC hotel (VirtualCard is enabled) in Expedia system.
EVC supported by partner 
Steps: 
1. Expedia makes a cancellation on the test hotel from Expedia shopping path
2. Make sure the cancellation request sent to partner contains the Source ID="Expedia"
Verify:
1. The Cancellation must be properly confirmed by partner without error. 
2. Verify that the partner flags that cancellation as Expedia Collect and stores the Credit Card payment details
3.Validate that Partners stores Special Request 5 for the payment instruction
For RequestCode=5, this element will contain a special instruction for payment by
credit card depending on Expedia Collect EVC: Text for EVC: "Payment info will be populated here"</t>
  </si>
  <si>
    <t>Steps: 
2. Expedia makes a hotel collect booking on the test hotel from Expedia shopping path
3. Make sure the booking request sent to partner contains the Source ID="Expedia"
Verify:
1. The booking must be properly confirmed by partner without error. 
2. Verify that the partner flags that booking as Hotel Collect and stores the guest Credit Card payment details
3. Validate that Partners stores Special Request 5 for the payment instruction
For RequestCode=5, this element will contain a special instruction for payment by
credit card depending on Hotel Collect
Text for Hotel Collect: "Payment info will be populated here"</t>
  </si>
  <si>
    <t>Prerequisite: 
Initial hotel collect booking is successful
Steps: 
1. Expedia makes a hotel collect modification on the test hotel from Expedia shopping path
2. Make sure the booking request sent to partner contains the Source ID="Expedia"
Verify:
1. The modification must be properly confirmed by partner without error. 
2. Verify that the partner flags that booking as Hotel Collect and stores the guest Credit Card payment details
4. Validate that Partners stores Special Request 5 for the payment instruction
For RequestCode=5, this element will contain a special instruction for payment by
credit card depending on Hotel Collect
Text for Hotel Collect: "Payment info will be populated here"</t>
  </si>
  <si>
    <t>Prerequisite: 
Initial hotel collect booking is successful
Steps: 
1. Expedia makes a hotel collect modification on the test hotel from Expedia shopping path
2. Make sure the booking request sent to partner contains the Source ID="Hotels"
Verify:
1. The modification must be properly confirmed by partner without error. 
2. Verify that the partner flags that booking as Hotel Collect and stores the guest Credit Card payment details
4. Validate that Partners stores Special Request 5 for the payment instruction
For RequestCode=5, this element will contain a special instruction for payment by
credit card depending on Hotel Collect
Text for Hotel Collect: "Payment info will be populated here"</t>
  </si>
  <si>
    <t>Prerequisite: 
Initial booking is successful
Steps: 
1. Expedia makes a cancellation on the test hotel from Expedia shopping path
2. Make sure the cancellation request sent to partner contains the Source ID="Expedia"
Verify:
1. The Cancellation must be properly confirmed by partner without error. 
2. Verify that the partner flags that cancellation as Expedia Collect and stores the Credit Card payment details
3. Validate that Partners stores Special Request 5 for the payment instruction  "Payment info will be populated here"</t>
  </si>
  <si>
    <t>Prerequisite: 
Prerequisite: 
1. At least one Promotion is available to use in Expedia system, such as
  - stay x nights and get one night free, 
  - or stay x nights and get the last night 50% off;
Steps: 
1. Expedia makes a booking on the test hotel from Expedia shopping path
Verify:
1. The booking must be properly confirmed by partner without error. 
2. Booking confirmation ID must be returned by partner in OTA_HotelResNotifRS. 
3. Verify that the partner flags that booking as Hotel Collect and stores the Credit Card payment details: "Payment info will be populated here"
4. Expedia to validate that Partner applies the discounted rate that Expedia sends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</si>
</sst>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B\K\-000"/>
    <numFmt numFmtId="166" formatCode="[$-409]d\-mmm\-yy;@"/>
  </numFmts>
  <fonts count="12" x14ac:knownFonts="1">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4"/>
      <color theme="1"/>
      <name val="Calibri"/>
      <family val="2"/>
      <scheme val="minor"/>
    </font>
    <font>
      <b/>
      <sz val="10"/>
      <name val="Calibri"/>
      <family val="2"/>
      <scheme val="minor"/>
    </font>
    <font>
      <sz val="10"/>
      <name val="Calibri"/>
      <family val="2"/>
      <scheme val="minor"/>
    </font>
    <font>
      <i/>
      <sz val="10"/>
      <name val="Calibri"/>
      <family val="2"/>
      <scheme val="minor"/>
    </font>
    <font>
      <sz val="10"/>
      <color rgb="FF0070C0"/>
      <name val="Calibri"/>
      <family val="2"/>
      <scheme val="minor"/>
    </font>
    <font>
      <sz val="10"/>
      <color rgb="FF0000CC"/>
      <name val="Calibri"/>
      <family val="2"/>
      <scheme val="minor"/>
    </font>
    <font>
      <sz val="10"/>
      <color theme="4"/>
      <name val="Calibri"/>
      <family val="2"/>
      <scheme val="minor"/>
    </font>
    <font>
      <b/>
      <sz val="10"/>
      <color rgb="FFFF0000"/>
      <name val="Calibri"/>
      <family val="2"/>
      <scheme val="minor"/>
    </font>
  </fonts>
  <fills count="11">
    <fill>
      <patternFill patternType="none"/>
    </fill>
    <fill>
      <patternFill patternType="gray125"/>
    </fill>
    <fill>
      <patternFill patternType="solid">
        <fgColor theme="1" tint="0.34998626667073579"/>
        <bgColor indexed="64"/>
      </patternFill>
    </fill>
    <fill>
      <patternFill patternType="solid">
        <fgColor rgb="FF92D050"/>
        <bgColor indexed="64"/>
      </patternFill>
    </fill>
    <fill>
      <patternFill patternType="solid">
        <fgColor rgb="FFC0000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s>
  <borders count="12">
    <border>
      <left/>
      <right/>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xf numFmtId="0" fontId="3" fillId="0" borderId="0" applyFill="0">
      <alignment horizontal="left" vertical="center" wrapText="1"/>
    </xf>
  </cellStyleXfs>
  <cellXfs count="55">
    <xf numFmtId="0" fontId="0" fillId="0" borderId="0" xfId="0"/>
    <xf numFmtId="0" fontId="0" fillId="0" borderId="0" xfId="0" applyAlignment="1">
      <alignment horizontal="center" vertical="center"/>
    </xf>
    <xf numFmtId="9" fontId="0" fillId="0" borderId="0" xfId="0" applyNumberFormat="1" applyAlignment="1">
      <alignment horizontal="center" vertical="center"/>
    </xf>
    <xf numFmtId="0" fontId="1" fillId="2" borderId="2" xfId="0" applyFont="1" applyFill="1" applyBorder="1" applyAlignment="1">
      <alignment horizontal="center" vertical="center"/>
    </xf>
    <xf numFmtId="0" fontId="0" fillId="0" borderId="2" xfId="0" applyBorder="1" applyAlignment="1">
      <alignment horizontal="center" vertical="center"/>
    </xf>
    <xf numFmtId="0" fontId="2" fillId="3" borderId="2" xfId="0" applyFont="1" applyFill="1" applyBorder="1" applyAlignment="1">
      <alignment horizontal="center" vertical="center"/>
    </xf>
    <xf numFmtId="0" fontId="1" fillId="4" borderId="2" xfId="0" applyFont="1" applyFill="1" applyBorder="1" applyAlignment="1">
      <alignment horizontal="center" vertical="center"/>
    </xf>
    <xf numFmtId="0" fontId="1" fillId="2" borderId="8" xfId="0" applyFont="1" applyFill="1" applyBorder="1"/>
    <xf numFmtId="9" fontId="1" fillId="2" borderId="9" xfId="0" applyNumberFormat="1" applyFont="1" applyFill="1" applyBorder="1" applyAlignment="1">
      <alignment horizontal="center" vertical="center"/>
    </xf>
    <xf numFmtId="9" fontId="0" fillId="2" borderId="9" xfId="0" applyNumberFormat="1" applyFill="1" applyBorder="1" applyAlignment="1">
      <alignment horizontal="center" vertical="center"/>
    </xf>
    <xf numFmtId="9" fontId="2" fillId="3" borderId="9" xfId="0" applyNumberFormat="1" applyFont="1" applyFill="1" applyBorder="1" applyAlignment="1">
      <alignment horizontal="center" vertical="center"/>
    </xf>
    <xf numFmtId="9" fontId="1" fillId="4" borderId="9" xfId="0" applyNumberFormat="1" applyFont="1" applyFill="1" applyBorder="1" applyAlignment="1">
      <alignment horizontal="center" vertical="center"/>
    </xf>
    <xf numFmtId="0" fontId="1" fillId="2" borderId="10" xfId="0" applyFont="1" applyFill="1" applyBorder="1"/>
    <xf numFmtId="0" fontId="1" fillId="2" borderId="2" xfId="0" applyFont="1" applyFill="1" applyBorder="1" applyAlignment="1">
      <alignment wrapText="1"/>
    </xf>
    <xf numFmtId="1" fontId="0" fillId="0" borderId="2" xfId="0" applyNumberFormat="1" applyBorder="1" applyAlignment="1">
      <alignment horizontal="center" vertical="center"/>
    </xf>
    <xf numFmtId="165" fontId="5" fillId="8" borderId="2" xfId="0" applyNumberFormat="1" applyFont="1" applyFill="1" applyBorder="1" applyAlignment="1">
      <alignment horizontal="center" vertical="center" wrapText="1"/>
    </xf>
    <xf numFmtId="165" fontId="5" fillId="9" borderId="2" xfId="0" applyNumberFormat="1" applyFont="1" applyFill="1" applyBorder="1" applyAlignment="1">
      <alignment horizontal="center" vertical="center" wrapText="1"/>
    </xf>
    <xf numFmtId="165" fontId="5" fillId="10" borderId="2" xfId="0" applyNumberFormat="1" applyFont="1" applyFill="1" applyBorder="1" applyAlignment="1">
      <alignment horizontal="center" vertical="center" wrapText="1"/>
    </xf>
    <xf numFmtId="0" fontId="6" fillId="10" borderId="2" xfId="0" applyFont="1" applyFill="1" applyBorder="1" applyAlignment="1">
      <alignment horizontal="center" vertical="center"/>
    </xf>
    <xf numFmtId="0" fontId="6" fillId="10" borderId="2" xfId="0" applyFont="1" applyFill="1" applyBorder="1" applyAlignment="1">
      <alignment horizontal="left" vertical="center" wrapText="1"/>
    </xf>
    <xf numFmtId="0" fontId="5" fillId="8" borderId="2" xfId="0" applyFont="1" applyFill="1" applyBorder="1" applyAlignment="1">
      <alignment horizontal="center" vertical="center" wrapText="1"/>
    </xf>
    <xf numFmtId="0" fontId="5" fillId="6" borderId="0" xfId="0" applyFont="1" applyFill="1" applyAlignment="1">
      <alignment horizontal="center" vertical="center" wrapText="1"/>
    </xf>
    <xf numFmtId="0" fontId="5" fillId="7" borderId="11" xfId="0" applyFont="1" applyFill="1" applyBorder="1" applyAlignment="1">
      <alignment horizontal="center" vertical="center" wrapText="1"/>
    </xf>
    <xf numFmtId="0" fontId="5" fillId="0" borderId="0" xfId="0" applyFont="1"/>
    <xf numFmtId="0" fontId="6" fillId="8" borderId="2" xfId="0" applyFont="1" applyFill="1" applyBorder="1" applyAlignment="1">
      <alignment horizontal="left" vertical="center" wrapText="1"/>
    </xf>
    <xf numFmtId="0" fontId="6" fillId="8" borderId="2" xfId="0" applyFont="1" applyFill="1" applyBorder="1" applyAlignment="1">
      <alignment horizontal="center" vertical="center"/>
    </xf>
    <xf numFmtId="166" fontId="6" fillId="8" borderId="2" xfId="0" applyNumberFormat="1" applyFont="1" applyFill="1" applyBorder="1" applyAlignment="1">
      <alignment horizontal="center"/>
    </xf>
    <xf numFmtId="0" fontId="6" fillId="8" borderId="2" xfId="0" applyFont="1" applyFill="1" applyBorder="1"/>
    <xf numFmtId="0" fontId="6" fillId="9" borderId="2" xfId="0" applyFont="1" applyFill="1" applyBorder="1" applyAlignment="1">
      <alignment horizontal="left" vertical="center" wrapText="1"/>
    </xf>
    <xf numFmtId="0" fontId="6" fillId="9" borderId="2" xfId="0" applyFont="1" applyFill="1" applyBorder="1" applyAlignment="1">
      <alignment horizontal="center" vertical="center"/>
    </xf>
    <xf numFmtId="166" fontId="6" fillId="9" borderId="2" xfId="0" applyNumberFormat="1" applyFont="1" applyFill="1" applyBorder="1" applyAlignment="1">
      <alignment horizontal="center"/>
    </xf>
    <xf numFmtId="0" fontId="6" fillId="9" borderId="2" xfId="0" applyFont="1" applyFill="1" applyBorder="1"/>
    <xf numFmtId="166" fontId="6" fillId="10" borderId="2" xfId="0" applyNumberFormat="1" applyFont="1" applyFill="1" applyBorder="1" applyAlignment="1">
      <alignment horizontal="center"/>
    </xf>
    <xf numFmtId="0" fontId="6" fillId="10" borderId="2" xfId="0" applyFont="1" applyFill="1" applyBorder="1"/>
    <xf numFmtId="0" fontId="6" fillId="10" borderId="2" xfId="0" applyFont="1" applyFill="1" applyBorder="1" applyAlignment="1">
      <alignment horizontal="center" vertical="center" wrapText="1"/>
    </xf>
    <xf numFmtId="0" fontId="6" fillId="6" borderId="0" xfId="0" applyFont="1" applyFill="1" applyAlignment="1">
      <alignment horizontal="center" vertical="center" wrapText="1"/>
    </xf>
    <xf numFmtId="0" fontId="5" fillId="9" borderId="2" xfId="0" applyFont="1" applyFill="1" applyBorder="1" applyAlignment="1">
      <alignment horizontal="center" vertical="center" wrapText="1"/>
    </xf>
    <xf numFmtId="165" fontId="5" fillId="10" borderId="11" xfId="0" applyNumberFormat="1" applyFont="1" applyFill="1" applyBorder="1" applyAlignment="1">
      <alignment horizontal="center" vertical="center" wrapText="1"/>
    </xf>
    <xf numFmtId="0" fontId="6" fillId="10" borderId="11" xfId="0" applyFont="1" applyFill="1" applyBorder="1" applyAlignment="1">
      <alignment horizontal="center" vertical="center" wrapText="1"/>
    </xf>
    <xf numFmtId="0" fontId="6" fillId="10" borderId="11" xfId="0" applyFont="1" applyFill="1" applyBorder="1" applyAlignment="1">
      <alignment horizontal="left" vertical="center" wrapText="1"/>
    </xf>
    <xf numFmtId="0" fontId="6" fillId="10" borderId="11" xfId="0" applyFont="1" applyFill="1" applyBorder="1" applyAlignment="1">
      <alignment horizontal="center" vertical="center"/>
    </xf>
    <xf numFmtId="166" fontId="6" fillId="10" borderId="11" xfId="0" applyNumberFormat="1" applyFont="1" applyFill="1" applyBorder="1" applyAlignment="1">
      <alignment horizontal="center"/>
    </xf>
    <xf numFmtId="0" fontId="6" fillId="0" borderId="0" xfId="0" applyFont="1" applyFill="1" applyBorder="1"/>
    <xf numFmtId="1" fontId="6" fillId="0" borderId="0" xfId="0" applyNumberFormat="1" applyFont="1" applyFill="1" applyBorder="1"/>
    <xf numFmtId="0" fontId="6" fillId="0" borderId="0" xfId="0" applyFont="1" applyFill="1" applyBorder="1" applyAlignment="1">
      <alignment wrapText="1"/>
    </xf>
    <xf numFmtId="0" fontId="6" fillId="0" borderId="0" xfId="0" applyFont="1" applyFill="1" applyBorder="1" applyAlignment="1">
      <alignment horizontal="center" vertical="center"/>
    </xf>
    <xf numFmtId="164" fontId="6" fillId="0" borderId="0" xfId="0" applyNumberFormat="1" applyFont="1" applyFill="1" applyBorder="1" applyAlignment="1">
      <alignment horizontal="center"/>
    </xf>
    <xf numFmtId="0" fontId="11" fillId="7" borderId="11" xfId="0" applyFont="1" applyFill="1" applyBorder="1" applyAlignment="1">
      <alignment horizontal="center" vertical="center" wrapText="1"/>
    </xf>
    <xf numFmtId="0" fontId="5" fillId="7" borderId="2" xfId="0" applyFont="1" applyFill="1" applyBorder="1" applyAlignment="1">
      <alignment horizontal="center" vertical="center"/>
    </xf>
    <xf numFmtId="0" fontId="4" fillId="5" borderId="3" xfId="0" applyFont="1" applyFill="1" applyBorder="1" applyAlignment="1">
      <alignment horizontal="center" vertical="top"/>
    </xf>
    <xf numFmtId="0" fontId="4" fillId="5" borderId="4" xfId="0" applyFont="1" applyFill="1" applyBorder="1" applyAlignment="1">
      <alignment horizontal="center" vertical="top"/>
    </xf>
    <xf numFmtId="0" fontId="4" fillId="5" borderId="1" xfId="0" applyFont="1" applyFill="1" applyBorder="1" applyAlignment="1">
      <alignment horizontal="center" vertical="top"/>
    </xf>
    <xf numFmtId="0" fontId="4" fillId="5" borderId="6" xfId="0" applyFont="1" applyFill="1" applyBorder="1" applyAlignment="1">
      <alignment horizontal="center" vertical="top"/>
    </xf>
    <xf numFmtId="0" fontId="4" fillId="5" borderId="5" xfId="0" applyFont="1" applyFill="1" applyBorder="1" applyAlignment="1">
      <alignment horizontal="center" vertical="top"/>
    </xf>
    <xf numFmtId="0" fontId="4" fillId="5" borderId="7" xfId="0" applyFont="1" applyFill="1" applyBorder="1" applyAlignment="1">
      <alignment horizontal="center" vertical="top"/>
    </xf>
  </cellXfs>
  <cellStyles count="2">
    <cellStyle name="Normal" xfId="0" builtinId="0"/>
    <cellStyle name="TC content format" xfId="1" xr:uid="{00000000-0005-0000-0000-000001000000}"/>
  </cellStyles>
  <dxfs count="0"/>
  <tableStyles count="0" defaultTableStyle="TableStyleMedium9" defaultPivotStyle="PivotStyleLight16"/>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GB"/>
              <a:t>Certification Tests Summary</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view3D>
      <c:rotX val="30"/>
      <c:rotY val="82"/>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26"/>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13C1-49C0-9156-DB562A5B7CFC}"/>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13C1-49C0-9156-DB562A5B7CFC}"/>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13C1-49C0-9156-DB562A5B7CFC}"/>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13C1-49C0-9156-DB562A5B7CFC}"/>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13C1-49C0-9156-DB562A5B7CFC}"/>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13C1-49C0-9156-DB562A5B7CFC}"/>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13C1-49C0-9156-DB562A5B7CFC}"/>
                </c:ext>
              </c:extLst>
            </c:dLbl>
            <c:dLbl>
              <c:idx val="2"/>
              <c:layout>
                <c:manualLayout>
                  <c:x val="-2.9620853080568721E-2"/>
                  <c:y val="-0.1533742331288343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3C1-49C0-9156-DB562A5B7CFC}"/>
                </c:ext>
              </c:extLst>
            </c:dLbl>
            <c:dLbl>
              <c:idx val="3"/>
              <c:layout>
                <c:manualLayout>
                  <c:x val="-5.9241706161137437E-3"/>
                  <c:y val="0.10906612133605999"/>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13C1-49C0-9156-DB562A5B7CFC}"/>
                </c:ext>
              </c:extLst>
            </c:dLbl>
            <c:dLbl>
              <c:idx val="4"/>
              <c:layout>
                <c:manualLayout>
                  <c:x val="-1.9747235387045812E-3"/>
                  <c:y val="0.2385821404226312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13C1-49C0-9156-DB562A5B7CFC}"/>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'Test Run Status'!$B$6:$B$10</c:f>
              <c:strCache>
                <c:ptCount val="5"/>
                <c:pt idx="0">
                  <c:v>Passed</c:v>
                </c:pt>
                <c:pt idx="1">
                  <c:v>Failed</c:v>
                </c:pt>
                <c:pt idx="2">
                  <c:v>OnHold</c:v>
                </c:pt>
                <c:pt idx="3">
                  <c:v>InProgress</c:v>
                </c:pt>
                <c:pt idx="4">
                  <c:v>To Do </c:v>
                </c:pt>
              </c:strCache>
            </c:strRef>
          </c:cat>
          <c:val>
            <c:numRef>
              <c:f>'Test Run Status'!$C$6:$C$10</c:f>
              <c:numCache>
                <c:formatCode>General</c:formatCode>
                <c:ptCount val="5"/>
                <c:pt idx="0">
                  <c:v>0</c:v>
                </c:pt>
                <c:pt idx="1">
                  <c:v>0</c:v>
                </c:pt>
                <c:pt idx="2">
                  <c:v>0</c:v>
                </c:pt>
                <c:pt idx="3">
                  <c:v>0</c:v>
                </c:pt>
                <c:pt idx="4" formatCode="0">
                  <c:v>57</c:v>
                </c:pt>
              </c:numCache>
            </c:numRef>
          </c:val>
          <c:extLst>
            <c:ext xmlns:c16="http://schemas.microsoft.com/office/drawing/2014/chart" uri="{C3380CC4-5D6E-409C-BE32-E72D297353CC}">
              <c16:uniqueId val="{0000000A-13C1-49C0-9156-DB562A5B7CFC}"/>
            </c:ext>
          </c:extLst>
        </c:ser>
        <c:ser>
          <c:idx val="1"/>
          <c:order val="1"/>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C-13C1-49C0-9156-DB562A5B7CFC}"/>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E-13C1-49C0-9156-DB562A5B7CFC}"/>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0-13C1-49C0-9156-DB562A5B7CFC}"/>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2-13C1-49C0-9156-DB562A5B7CFC}"/>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14-13C1-49C0-9156-DB562A5B7CFC}"/>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C-13C1-49C0-9156-DB562A5B7CFC}"/>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E-13C1-49C0-9156-DB562A5B7CFC}"/>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0-13C1-49C0-9156-DB562A5B7CFC}"/>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2-13C1-49C0-9156-DB562A5B7CFC}"/>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4-13C1-49C0-9156-DB562A5B7CFC}"/>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'Test Run Status'!$B$6:$B$10</c:f>
              <c:strCache>
                <c:ptCount val="5"/>
                <c:pt idx="0">
                  <c:v>Passed</c:v>
                </c:pt>
                <c:pt idx="1">
                  <c:v>Failed</c:v>
                </c:pt>
                <c:pt idx="2">
                  <c:v>OnHold</c:v>
                </c:pt>
                <c:pt idx="3">
                  <c:v>InProgress</c:v>
                </c:pt>
                <c:pt idx="4">
                  <c:v>To Do </c:v>
                </c:pt>
              </c:strCache>
            </c:strRef>
          </c:cat>
          <c:val>
            <c:numRef>
              <c:f>'Test Run Status'!$D$6:$D$10</c:f>
              <c:numCache>
                <c:formatCode>0%</c:formatCode>
                <c:ptCount val="5"/>
                <c:pt idx="0">
                  <c:v>0</c:v>
                </c:pt>
                <c:pt idx="1">
                  <c:v>0</c:v>
                </c:pt>
                <c:pt idx="2">
                  <c:v>0</c:v>
                </c:pt>
                <c:pt idx="3">
                  <c:v>0</c:v>
                </c:pt>
                <c:pt idx="4">
                  <c:v>1</c:v>
                </c:pt>
              </c:numCache>
            </c:numRef>
          </c:val>
          <c:extLst>
            <c:ext xmlns:c16="http://schemas.microsoft.com/office/drawing/2014/chart" uri="{C3380CC4-5D6E-409C-BE32-E72D297353CC}">
              <c16:uniqueId val="{00000015-13C1-49C0-9156-DB562A5B7CFC}"/>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190500</xdr:colOff>
      <xdr:row>0</xdr:row>
      <xdr:rowOff>68580</xdr:rowOff>
    </xdr:from>
    <xdr:to>
      <xdr:col>18</xdr:col>
      <xdr:colOff>411480</xdr:colOff>
      <xdr:row>33</xdr:row>
      <xdr:rowOff>129540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U58"/>
  <sheetViews>
    <sheetView tabSelected="1" zoomScale="85" zoomScaleNormal="85" workbookViewId="0">
      <pane ySplit="1" topLeftCell="A50" activePane="bottomLeft" state="frozen"/>
      <selection pane="bottomLeft" activeCell="F50" sqref="F50"/>
    </sheetView>
  </sheetViews>
  <sheetFormatPr defaultColWidth="8.84375" defaultRowHeight="12.9" x14ac:dyDescent="0.35"/>
  <cols>
    <col min="1" max="1" width="7.69140625" style="43" customWidth="1"/>
    <col min="2" max="2" width="9.84375" style="43" customWidth="1"/>
    <col min="3" max="3" width="9.53515625" style="43" customWidth="1"/>
    <col min="4" max="4" width="24.53515625" style="42" customWidth="1"/>
    <col min="5" max="5" width="38.15234375" style="42" customWidth="1"/>
    <col min="6" max="6" width="65.3828125" style="44" customWidth="1"/>
    <col min="7" max="7" width="14.53515625" style="42" bestFit="1" customWidth="1"/>
    <col min="8" max="8" width="9.53515625" style="42" customWidth="1"/>
    <col min="9" max="9" width="9.3046875" style="45" customWidth="1"/>
    <col min="10" max="10" width="12.3828125" style="46" bestFit="1" customWidth="1"/>
    <col min="11" max="11" width="17.3828125" style="42" customWidth="1"/>
    <col min="12" max="12" width="18.84375" style="42" customWidth="1"/>
    <col min="13" max="13" width="27" style="42" customWidth="1"/>
    <col min="14" max="16384" width="8.84375" style="42"/>
  </cols>
  <sheetData>
    <row r="1" spans="1:13" s="23" customFormat="1" ht="77.150000000000006" x14ac:dyDescent="0.35">
      <c r="A1" s="21" t="s">
        <v>16</v>
      </c>
      <c r="B1" s="21" t="s">
        <v>106</v>
      </c>
      <c r="C1" s="21" t="s">
        <v>91</v>
      </c>
      <c r="D1" s="21" t="s">
        <v>17</v>
      </c>
      <c r="E1" s="35" t="s">
        <v>3</v>
      </c>
      <c r="F1" s="35" t="s">
        <v>4</v>
      </c>
      <c r="G1" s="22" t="s">
        <v>14</v>
      </c>
      <c r="H1" s="47" t="s">
        <v>142</v>
      </c>
      <c r="I1" s="22" t="s">
        <v>0</v>
      </c>
      <c r="J1" s="22" t="s">
        <v>1</v>
      </c>
      <c r="K1" s="22" t="s">
        <v>2</v>
      </c>
      <c r="L1" s="22" t="s">
        <v>151</v>
      </c>
      <c r="M1" s="48" t="s">
        <v>152</v>
      </c>
    </row>
    <row r="2" spans="1:13" s="27" customFormat="1" ht="192.9" x14ac:dyDescent="0.35">
      <c r="A2" s="15">
        <v>1</v>
      </c>
      <c r="B2" s="15" t="s">
        <v>33</v>
      </c>
      <c r="C2" s="15" t="s">
        <v>34</v>
      </c>
      <c r="D2" s="20" t="s">
        <v>116</v>
      </c>
      <c r="E2" s="24" t="s">
        <v>114</v>
      </c>
      <c r="F2" s="24" t="s">
        <v>167</v>
      </c>
      <c r="G2" s="24"/>
      <c r="H2" s="24"/>
      <c r="I2" s="25"/>
      <c r="J2" s="26"/>
      <c r="K2" s="24"/>
    </row>
    <row r="3" spans="1:13" s="27" customFormat="1" ht="180" x14ac:dyDescent="0.35">
      <c r="A3" s="15">
        <v>2</v>
      </c>
      <c r="B3" s="15" t="s">
        <v>33</v>
      </c>
      <c r="C3" s="15" t="s">
        <v>34</v>
      </c>
      <c r="D3" s="20" t="s">
        <v>117</v>
      </c>
      <c r="E3" s="24" t="s">
        <v>31</v>
      </c>
      <c r="F3" s="24" t="s">
        <v>168</v>
      </c>
      <c r="G3" s="24"/>
      <c r="H3" s="24"/>
      <c r="I3" s="25"/>
      <c r="J3" s="26"/>
      <c r="K3" s="24"/>
    </row>
    <row r="4" spans="1:13" s="27" customFormat="1" ht="192.9" x14ac:dyDescent="0.35">
      <c r="A4" s="15">
        <v>3</v>
      </c>
      <c r="B4" s="15" t="s">
        <v>33</v>
      </c>
      <c r="C4" s="15" t="s">
        <v>34</v>
      </c>
      <c r="D4" s="20" t="s">
        <v>118</v>
      </c>
      <c r="E4" s="24" t="s">
        <v>55</v>
      </c>
      <c r="F4" s="24" t="s">
        <v>169</v>
      </c>
      <c r="G4" s="24"/>
      <c r="H4" s="24"/>
      <c r="I4" s="25"/>
      <c r="J4" s="26"/>
      <c r="K4" s="24"/>
    </row>
    <row r="5" spans="1:13" s="27" customFormat="1" ht="154.30000000000001" x14ac:dyDescent="0.35">
      <c r="A5" s="15">
        <v>4</v>
      </c>
      <c r="B5" s="15" t="s">
        <v>33</v>
      </c>
      <c r="C5" s="15" t="s">
        <v>34</v>
      </c>
      <c r="D5" s="20" t="s">
        <v>119</v>
      </c>
      <c r="E5" s="24" t="s">
        <v>56</v>
      </c>
      <c r="F5" s="24" t="s">
        <v>170</v>
      </c>
      <c r="G5" s="24"/>
      <c r="H5" s="24"/>
      <c r="I5" s="25"/>
      <c r="J5" s="26"/>
      <c r="K5" s="24"/>
    </row>
    <row r="6" spans="1:13" s="27" customFormat="1" ht="205.75" x14ac:dyDescent="0.35">
      <c r="A6" s="15">
        <v>5</v>
      </c>
      <c r="B6" s="15" t="s">
        <v>33</v>
      </c>
      <c r="C6" s="15" t="s">
        <v>34</v>
      </c>
      <c r="D6" s="20" t="s">
        <v>120</v>
      </c>
      <c r="E6" s="24" t="s">
        <v>31</v>
      </c>
      <c r="F6" s="24" t="s">
        <v>171</v>
      </c>
      <c r="G6" s="24"/>
      <c r="H6" s="24"/>
      <c r="I6" s="25"/>
      <c r="J6" s="26"/>
      <c r="K6" s="24"/>
    </row>
    <row r="7" spans="1:13" s="27" customFormat="1" ht="180" x14ac:dyDescent="0.35">
      <c r="A7" s="15">
        <v>6</v>
      </c>
      <c r="B7" s="15" t="s">
        <v>33</v>
      </c>
      <c r="C7" s="15" t="s">
        <v>34</v>
      </c>
      <c r="D7" s="20" t="s">
        <v>121</v>
      </c>
      <c r="E7" s="24" t="s">
        <v>57</v>
      </c>
      <c r="F7" s="24" t="s">
        <v>172</v>
      </c>
      <c r="G7" s="24"/>
      <c r="H7" s="24"/>
      <c r="I7" s="25"/>
      <c r="J7" s="26"/>
      <c r="K7" s="24"/>
    </row>
    <row r="8" spans="1:13" s="27" customFormat="1" ht="141.44999999999999" x14ac:dyDescent="0.35">
      <c r="A8" s="15">
        <v>7</v>
      </c>
      <c r="B8" s="15" t="s">
        <v>33</v>
      </c>
      <c r="C8" s="15" t="s">
        <v>34</v>
      </c>
      <c r="D8" s="20" t="s">
        <v>122</v>
      </c>
      <c r="E8" s="24" t="s">
        <v>58</v>
      </c>
      <c r="F8" s="24" t="s">
        <v>32</v>
      </c>
      <c r="G8" s="24"/>
      <c r="H8" s="24"/>
      <c r="I8" s="25"/>
      <c r="J8" s="26"/>
      <c r="K8" s="24"/>
    </row>
    <row r="9" spans="1:13" s="27" customFormat="1" ht="115.75" x14ac:dyDescent="0.35">
      <c r="A9" s="15">
        <v>8</v>
      </c>
      <c r="B9" s="15" t="s">
        <v>33</v>
      </c>
      <c r="C9" s="15" t="s">
        <v>34</v>
      </c>
      <c r="D9" s="20" t="s">
        <v>123</v>
      </c>
      <c r="E9" s="24" t="s">
        <v>59</v>
      </c>
      <c r="F9" s="24" t="s">
        <v>25</v>
      </c>
      <c r="G9" s="24"/>
      <c r="H9" s="24"/>
      <c r="I9" s="25"/>
      <c r="J9" s="26"/>
      <c r="K9" s="24"/>
    </row>
    <row r="10" spans="1:13" s="27" customFormat="1" ht="128.6" x14ac:dyDescent="0.35">
      <c r="A10" s="15">
        <v>9</v>
      </c>
      <c r="B10" s="15" t="s">
        <v>33</v>
      </c>
      <c r="C10" s="15" t="s">
        <v>34</v>
      </c>
      <c r="D10" s="20" t="s">
        <v>124</v>
      </c>
      <c r="E10" s="24" t="s">
        <v>60</v>
      </c>
      <c r="F10" s="24" t="s">
        <v>26</v>
      </c>
      <c r="G10" s="24"/>
      <c r="H10" s="24"/>
      <c r="I10" s="25"/>
      <c r="J10" s="26"/>
      <c r="K10" s="24"/>
    </row>
    <row r="11" spans="1:13" s="27" customFormat="1" ht="141.44999999999999" x14ac:dyDescent="0.35">
      <c r="A11" s="15">
        <v>10</v>
      </c>
      <c r="B11" s="15" t="s">
        <v>33</v>
      </c>
      <c r="C11" s="15" t="s">
        <v>34</v>
      </c>
      <c r="D11" s="20" t="s">
        <v>125</v>
      </c>
      <c r="E11" s="24" t="s">
        <v>61</v>
      </c>
      <c r="F11" s="24" t="s">
        <v>27</v>
      </c>
      <c r="G11" s="24"/>
      <c r="H11" s="24"/>
      <c r="I11" s="25"/>
      <c r="J11" s="26"/>
      <c r="K11" s="24"/>
    </row>
    <row r="12" spans="1:13" s="27" customFormat="1" ht="192.9" x14ac:dyDescent="0.35">
      <c r="A12" s="15">
        <v>11</v>
      </c>
      <c r="B12" s="15" t="s">
        <v>33</v>
      </c>
      <c r="C12" s="15" t="s">
        <v>34</v>
      </c>
      <c r="D12" s="20" t="s">
        <v>126</v>
      </c>
      <c r="E12" s="24" t="s">
        <v>55</v>
      </c>
      <c r="F12" s="24" t="s">
        <v>173</v>
      </c>
      <c r="G12" s="24"/>
      <c r="H12" s="24"/>
      <c r="I12" s="25"/>
      <c r="J12" s="26"/>
      <c r="K12" s="24"/>
    </row>
    <row r="13" spans="1:13" s="27" customFormat="1" ht="141.44999999999999" x14ac:dyDescent="0.35">
      <c r="A13" s="15">
        <v>12</v>
      </c>
      <c r="B13" s="15" t="s">
        <v>33</v>
      </c>
      <c r="C13" s="15" t="s">
        <v>34</v>
      </c>
      <c r="D13" s="20" t="s">
        <v>127</v>
      </c>
      <c r="E13" s="24" t="s">
        <v>62</v>
      </c>
      <c r="F13" s="24" t="s">
        <v>63</v>
      </c>
      <c r="G13" s="24"/>
      <c r="H13" s="24"/>
      <c r="I13" s="25"/>
      <c r="J13" s="26"/>
      <c r="K13" s="24"/>
    </row>
    <row r="14" spans="1:13" s="27" customFormat="1" ht="167.15" x14ac:dyDescent="0.35">
      <c r="A14" s="15">
        <v>13</v>
      </c>
      <c r="B14" s="15" t="s">
        <v>33</v>
      </c>
      <c r="C14" s="15" t="s">
        <v>34</v>
      </c>
      <c r="D14" s="20" t="s">
        <v>128</v>
      </c>
      <c r="E14" s="24" t="s">
        <v>64</v>
      </c>
      <c r="F14" s="24" t="s">
        <v>65</v>
      </c>
      <c r="G14" s="24"/>
      <c r="H14" s="24"/>
      <c r="I14" s="25"/>
      <c r="J14" s="26"/>
      <c r="K14" s="24"/>
    </row>
    <row r="15" spans="1:13" s="27" customFormat="1" ht="141.44999999999999" x14ac:dyDescent="0.35">
      <c r="A15" s="15">
        <v>14</v>
      </c>
      <c r="B15" s="15" t="s">
        <v>33</v>
      </c>
      <c r="C15" s="15" t="s">
        <v>34</v>
      </c>
      <c r="D15" s="20" t="s">
        <v>154</v>
      </c>
      <c r="E15" s="24" t="s">
        <v>155</v>
      </c>
      <c r="F15" s="24" t="s">
        <v>157</v>
      </c>
      <c r="G15" s="24"/>
      <c r="H15" s="24"/>
      <c r="I15" s="25"/>
      <c r="J15" s="26"/>
      <c r="K15" s="24"/>
    </row>
    <row r="16" spans="1:13" s="27" customFormat="1" ht="154.30000000000001" x14ac:dyDescent="0.35">
      <c r="A16" s="15">
        <v>15</v>
      </c>
      <c r="B16" s="15" t="s">
        <v>33</v>
      </c>
      <c r="C16" s="15" t="s">
        <v>34</v>
      </c>
      <c r="D16" s="20" t="s">
        <v>156</v>
      </c>
      <c r="E16" s="24" t="s">
        <v>67</v>
      </c>
      <c r="F16" s="24" t="s">
        <v>158</v>
      </c>
      <c r="G16" s="24"/>
      <c r="H16" s="24"/>
      <c r="I16" s="25"/>
      <c r="J16" s="26"/>
      <c r="K16" s="24"/>
    </row>
    <row r="17" spans="1:11" s="27" customFormat="1" ht="154.30000000000001" x14ac:dyDescent="0.35">
      <c r="A17" s="15">
        <v>16</v>
      </c>
      <c r="B17" s="15" t="s">
        <v>33</v>
      </c>
      <c r="C17" s="15" t="s">
        <v>34</v>
      </c>
      <c r="D17" s="20" t="s">
        <v>159</v>
      </c>
      <c r="E17" s="24" t="s">
        <v>68</v>
      </c>
      <c r="F17" s="24" t="s">
        <v>158</v>
      </c>
      <c r="G17" s="24"/>
      <c r="H17" s="24"/>
      <c r="I17" s="25"/>
      <c r="J17" s="26"/>
      <c r="K17" s="24"/>
    </row>
    <row r="18" spans="1:11" s="27" customFormat="1" ht="128.6" x14ac:dyDescent="0.35">
      <c r="A18" s="15">
        <v>17</v>
      </c>
      <c r="B18" s="15" t="s">
        <v>33</v>
      </c>
      <c r="C18" s="15" t="s">
        <v>35</v>
      </c>
      <c r="D18" s="20" t="s">
        <v>129</v>
      </c>
      <c r="E18" s="24" t="s">
        <v>69</v>
      </c>
      <c r="F18" s="24" t="s">
        <v>144</v>
      </c>
      <c r="G18" s="24"/>
      <c r="H18" s="24"/>
      <c r="I18" s="25"/>
      <c r="J18" s="26"/>
      <c r="K18" s="24"/>
    </row>
    <row r="19" spans="1:11" s="27" customFormat="1" ht="128.6" x14ac:dyDescent="0.35">
      <c r="A19" s="15">
        <v>18</v>
      </c>
      <c r="B19" s="15" t="s">
        <v>33</v>
      </c>
      <c r="C19" s="15" t="s">
        <v>35</v>
      </c>
      <c r="D19" s="20" t="s">
        <v>130</v>
      </c>
      <c r="E19" s="24" t="s">
        <v>70</v>
      </c>
      <c r="F19" s="24" t="s">
        <v>36</v>
      </c>
      <c r="G19" s="24"/>
      <c r="H19" s="24"/>
      <c r="I19" s="25"/>
      <c r="J19" s="26"/>
      <c r="K19" s="24"/>
    </row>
    <row r="20" spans="1:11" s="27" customFormat="1" ht="115.75" x14ac:dyDescent="0.35">
      <c r="A20" s="15">
        <v>19</v>
      </c>
      <c r="B20" s="15" t="s">
        <v>33</v>
      </c>
      <c r="C20" s="15" t="s">
        <v>35</v>
      </c>
      <c r="D20" s="20" t="s">
        <v>131</v>
      </c>
      <c r="E20" s="24" t="s">
        <v>71</v>
      </c>
      <c r="F20" s="24" t="s">
        <v>37</v>
      </c>
      <c r="G20" s="24"/>
      <c r="H20" s="24"/>
      <c r="I20" s="25"/>
      <c r="J20" s="26"/>
      <c r="K20" s="24"/>
    </row>
    <row r="21" spans="1:11" s="27" customFormat="1" ht="128.6" x14ac:dyDescent="0.35">
      <c r="A21" s="15">
        <v>20</v>
      </c>
      <c r="B21" s="15" t="s">
        <v>33</v>
      </c>
      <c r="C21" s="15" t="s">
        <v>35</v>
      </c>
      <c r="D21" s="20" t="s">
        <v>141</v>
      </c>
      <c r="E21" s="24" t="s">
        <v>72</v>
      </c>
      <c r="F21" s="24" t="s">
        <v>145</v>
      </c>
      <c r="G21" s="24"/>
      <c r="H21" s="24"/>
      <c r="I21" s="25"/>
      <c r="J21" s="26"/>
      <c r="K21" s="24"/>
    </row>
    <row r="22" spans="1:11" s="27" customFormat="1" ht="128.6" x14ac:dyDescent="0.35">
      <c r="A22" s="15">
        <v>21</v>
      </c>
      <c r="B22" s="15" t="s">
        <v>33</v>
      </c>
      <c r="C22" s="15" t="s">
        <v>35</v>
      </c>
      <c r="D22" s="20" t="s">
        <v>132</v>
      </c>
      <c r="E22" s="24" t="s">
        <v>31</v>
      </c>
      <c r="F22" s="24" t="s">
        <v>146</v>
      </c>
      <c r="G22" s="24"/>
      <c r="H22" s="24"/>
      <c r="I22" s="25"/>
      <c r="J22" s="26"/>
      <c r="K22" s="24"/>
    </row>
    <row r="23" spans="1:11" s="27" customFormat="1" ht="128.6" x14ac:dyDescent="0.35">
      <c r="A23" s="15">
        <v>22</v>
      </c>
      <c r="B23" s="15" t="s">
        <v>33</v>
      </c>
      <c r="C23" s="15" t="s">
        <v>35</v>
      </c>
      <c r="D23" s="20" t="s">
        <v>133</v>
      </c>
      <c r="E23" s="24" t="s">
        <v>73</v>
      </c>
      <c r="F23" s="24" t="s">
        <v>147</v>
      </c>
      <c r="G23" s="24"/>
      <c r="H23" s="24"/>
      <c r="I23" s="25"/>
      <c r="J23" s="26"/>
      <c r="K23" s="24"/>
    </row>
    <row r="24" spans="1:11" s="27" customFormat="1" ht="154.30000000000001" x14ac:dyDescent="0.35">
      <c r="A24" s="15">
        <v>23</v>
      </c>
      <c r="B24" s="15" t="s">
        <v>33</v>
      </c>
      <c r="C24" s="15" t="s">
        <v>35</v>
      </c>
      <c r="D24" s="20" t="s">
        <v>134</v>
      </c>
      <c r="E24" s="24" t="s">
        <v>57</v>
      </c>
      <c r="F24" s="24" t="s">
        <v>148</v>
      </c>
      <c r="G24" s="24"/>
      <c r="H24" s="24"/>
      <c r="I24" s="25"/>
      <c r="J24" s="26"/>
      <c r="K24" s="24"/>
    </row>
    <row r="25" spans="1:11" s="27" customFormat="1" ht="115.75" x14ac:dyDescent="0.35">
      <c r="A25" s="15">
        <v>24</v>
      </c>
      <c r="B25" s="15" t="s">
        <v>33</v>
      </c>
      <c r="C25" s="15" t="s">
        <v>35</v>
      </c>
      <c r="D25" s="20" t="s">
        <v>135</v>
      </c>
      <c r="E25" s="24" t="s">
        <v>59</v>
      </c>
      <c r="F25" s="24" t="s">
        <v>84</v>
      </c>
      <c r="G25" s="24"/>
      <c r="H25" s="24"/>
      <c r="I25" s="25"/>
      <c r="J25" s="26"/>
      <c r="K25" s="24"/>
    </row>
    <row r="26" spans="1:11" s="27" customFormat="1" ht="128.6" x14ac:dyDescent="0.35">
      <c r="A26" s="15">
        <v>25</v>
      </c>
      <c r="B26" s="15" t="s">
        <v>33</v>
      </c>
      <c r="C26" s="15" t="s">
        <v>35</v>
      </c>
      <c r="D26" s="20" t="s">
        <v>136</v>
      </c>
      <c r="E26" s="24" t="s">
        <v>60</v>
      </c>
      <c r="F26" s="24" t="s">
        <v>149</v>
      </c>
      <c r="G26" s="24"/>
      <c r="H26" s="24"/>
      <c r="I26" s="25"/>
      <c r="J26" s="26"/>
      <c r="K26" s="24"/>
    </row>
    <row r="27" spans="1:11" s="27" customFormat="1" ht="141.44999999999999" x14ac:dyDescent="0.35">
      <c r="A27" s="15">
        <v>26</v>
      </c>
      <c r="B27" s="15" t="s">
        <v>33</v>
      </c>
      <c r="C27" s="15" t="s">
        <v>35</v>
      </c>
      <c r="D27" s="20" t="s">
        <v>137</v>
      </c>
      <c r="E27" s="24" t="s">
        <v>61</v>
      </c>
      <c r="F27" s="24" t="s">
        <v>27</v>
      </c>
      <c r="G27" s="24"/>
      <c r="H27" s="24"/>
      <c r="I27" s="25"/>
      <c r="J27" s="26"/>
      <c r="K27" s="24"/>
    </row>
    <row r="28" spans="1:11" s="27" customFormat="1" ht="115.75" x14ac:dyDescent="0.35">
      <c r="A28" s="15">
        <v>27</v>
      </c>
      <c r="B28" s="15" t="s">
        <v>33</v>
      </c>
      <c r="C28" s="15" t="s">
        <v>35</v>
      </c>
      <c r="D28" s="20" t="s">
        <v>138</v>
      </c>
      <c r="E28" s="24" t="s">
        <v>55</v>
      </c>
      <c r="F28" s="24" t="s">
        <v>150</v>
      </c>
      <c r="G28" s="24"/>
      <c r="H28" s="24"/>
      <c r="I28" s="25"/>
      <c r="J28" s="26"/>
      <c r="K28" s="24"/>
    </row>
    <row r="29" spans="1:11" s="27" customFormat="1" ht="141.44999999999999" x14ac:dyDescent="0.35">
      <c r="A29" s="15">
        <v>28</v>
      </c>
      <c r="B29" s="15" t="s">
        <v>33</v>
      </c>
      <c r="C29" s="15" t="s">
        <v>35</v>
      </c>
      <c r="D29" s="20" t="s">
        <v>139</v>
      </c>
      <c r="E29" s="24" t="s">
        <v>62</v>
      </c>
      <c r="F29" s="24" t="s">
        <v>63</v>
      </c>
      <c r="G29" s="24"/>
      <c r="H29" s="24"/>
      <c r="I29" s="25"/>
      <c r="J29" s="26"/>
      <c r="K29" s="24"/>
    </row>
    <row r="30" spans="1:11" s="27" customFormat="1" ht="167.15" x14ac:dyDescent="0.35">
      <c r="A30" s="15">
        <v>29</v>
      </c>
      <c r="B30" s="15" t="s">
        <v>33</v>
      </c>
      <c r="C30" s="15" t="s">
        <v>35</v>
      </c>
      <c r="D30" s="20" t="s">
        <v>140</v>
      </c>
      <c r="E30" s="24" t="s">
        <v>64</v>
      </c>
      <c r="F30" s="24" t="s">
        <v>65</v>
      </c>
      <c r="G30" s="24"/>
      <c r="H30" s="24"/>
      <c r="I30" s="25"/>
      <c r="J30" s="26"/>
      <c r="K30" s="24"/>
    </row>
    <row r="31" spans="1:11" s="27" customFormat="1" ht="141.44999999999999" x14ac:dyDescent="0.35">
      <c r="A31" s="15">
        <v>30</v>
      </c>
      <c r="B31" s="15" t="s">
        <v>33</v>
      </c>
      <c r="C31" s="15" t="s">
        <v>35</v>
      </c>
      <c r="D31" s="20" t="s">
        <v>115</v>
      </c>
      <c r="E31" s="24" t="s">
        <v>66</v>
      </c>
      <c r="F31" s="24" t="s">
        <v>38</v>
      </c>
      <c r="G31" s="24"/>
      <c r="H31" s="24"/>
      <c r="I31" s="25"/>
      <c r="J31" s="26"/>
      <c r="K31" s="24"/>
    </row>
    <row r="32" spans="1:11" s="27" customFormat="1" ht="154.30000000000001" x14ac:dyDescent="0.35">
      <c r="A32" s="15">
        <v>31</v>
      </c>
      <c r="B32" s="15" t="s">
        <v>33</v>
      </c>
      <c r="C32" s="15" t="s">
        <v>35</v>
      </c>
      <c r="D32" s="20" t="s">
        <v>85</v>
      </c>
      <c r="E32" s="24" t="s">
        <v>74</v>
      </c>
      <c r="F32" s="24" t="s">
        <v>39</v>
      </c>
      <c r="G32" s="24"/>
      <c r="H32" s="24"/>
      <c r="I32" s="25"/>
      <c r="J32" s="26"/>
      <c r="K32" s="24"/>
    </row>
    <row r="33" spans="1:21" s="27" customFormat="1" ht="154.30000000000001" x14ac:dyDescent="0.35">
      <c r="A33" s="15">
        <v>32</v>
      </c>
      <c r="B33" s="15" t="s">
        <v>33</v>
      </c>
      <c r="C33" s="15" t="s">
        <v>35</v>
      </c>
      <c r="D33" s="20" t="s">
        <v>86</v>
      </c>
      <c r="E33" s="24" t="s">
        <v>68</v>
      </c>
      <c r="F33" s="24" t="s">
        <v>39</v>
      </c>
      <c r="G33" s="24"/>
      <c r="H33" s="24"/>
      <c r="I33" s="25"/>
      <c r="J33" s="26"/>
      <c r="K33" s="24"/>
    </row>
    <row r="34" spans="1:21" s="31" customFormat="1" ht="141.44999999999999" x14ac:dyDescent="0.35">
      <c r="A34" s="16">
        <v>33</v>
      </c>
      <c r="B34" s="16" t="s">
        <v>89</v>
      </c>
      <c r="C34" s="16" t="s">
        <v>90</v>
      </c>
      <c r="D34" s="36" t="s">
        <v>88</v>
      </c>
      <c r="E34" s="28" t="s">
        <v>87</v>
      </c>
      <c r="F34" s="28" t="s">
        <v>174</v>
      </c>
      <c r="G34" s="28"/>
      <c r="H34" s="28"/>
      <c r="I34" s="29"/>
      <c r="J34" s="30"/>
      <c r="K34" s="28"/>
    </row>
    <row r="35" spans="1:21" s="31" customFormat="1" ht="180" x14ac:dyDescent="0.35">
      <c r="A35" s="16">
        <v>34</v>
      </c>
      <c r="B35" s="16" t="s">
        <v>89</v>
      </c>
      <c r="C35" s="16" t="s">
        <v>90</v>
      </c>
      <c r="D35" s="36" t="s">
        <v>92</v>
      </c>
      <c r="E35" s="28" t="s">
        <v>93</v>
      </c>
      <c r="F35" s="28" t="s">
        <v>175</v>
      </c>
      <c r="G35" s="28"/>
      <c r="H35" s="28"/>
      <c r="I35" s="29"/>
      <c r="J35" s="30"/>
      <c r="K35" s="28"/>
    </row>
    <row r="36" spans="1:21" s="31" customFormat="1" ht="102.9" x14ac:dyDescent="0.35">
      <c r="A36" s="16">
        <v>35</v>
      </c>
      <c r="B36" s="16" t="s">
        <v>89</v>
      </c>
      <c r="C36" s="16" t="s">
        <v>90</v>
      </c>
      <c r="D36" s="36" t="s">
        <v>104</v>
      </c>
      <c r="E36" s="28" t="s">
        <v>76</v>
      </c>
      <c r="F36" s="28" t="s">
        <v>30</v>
      </c>
      <c r="G36" s="28"/>
      <c r="H36" s="28"/>
      <c r="I36" s="29"/>
      <c r="J36" s="30"/>
      <c r="K36" s="28"/>
    </row>
    <row r="37" spans="1:21" s="31" customFormat="1" ht="154.30000000000001" x14ac:dyDescent="0.35">
      <c r="A37" s="16">
        <v>36</v>
      </c>
      <c r="B37" s="16" t="s">
        <v>89</v>
      </c>
      <c r="C37" s="16" t="s">
        <v>90</v>
      </c>
      <c r="D37" s="36" t="s">
        <v>94</v>
      </c>
      <c r="E37" s="28" t="s">
        <v>95</v>
      </c>
      <c r="F37" s="28" t="s">
        <v>81</v>
      </c>
      <c r="G37" s="28"/>
      <c r="H37" s="28"/>
      <c r="I37" s="29"/>
      <c r="J37" s="30"/>
      <c r="K37" s="28"/>
    </row>
    <row r="38" spans="1:21" s="31" customFormat="1" ht="180" x14ac:dyDescent="0.35">
      <c r="A38" s="16">
        <v>37</v>
      </c>
      <c r="B38" s="16" t="s">
        <v>89</v>
      </c>
      <c r="C38" s="16" t="s">
        <v>90</v>
      </c>
      <c r="D38" s="36" t="s">
        <v>96</v>
      </c>
      <c r="E38" s="28" t="s">
        <v>75</v>
      </c>
      <c r="F38" s="28" t="s">
        <v>176</v>
      </c>
      <c r="G38" s="28"/>
      <c r="H38" s="28"/>
      <c r="I38" s="29"/>
      <c r="J38" s="30"/>
      <c r="K38" s="28"/>
    </row>
    <row r="39" spans="1:21" s="31" customFormat="1" ht="115.75" x14ac:dyDescent="0.35">
      <c r="A39" s="16">
        <v>38</v>
      </c>
      <c r="B39" s="16" t="s">
        <v>89</v>
      </c>
      <c r="C39" s="16" t="s">
        <v>90</v>
      </c>
      <c r="D39" s="36" t="s">
        <v>97</v>
      </c>
      <c r="E39" s="28" t="s">
        <v>59</v>
      </c>
      <c r="F39" s="28" t="s">
        <v>28</v>
      </c>
      <c r="G39" s="28"/>
      <c r="H39" s="28"/>
      <c r="I39" s="29"/>
      <c r="J39" s="30"/>
      <c r="K39" s="28"/>
    </row>
    <row r="40" spans="1:21" s="31" customFormat="1" ht="141.44999999999999" x14ac:dyDescent="0.35">
      <c r="A40" s="16">
        <v>39</v>
      </c>
      <c r="B40" s="16" t="s">
        <v>89</v>
      </c>
      <c r="C40" s="16" t="s">
        <v>90</v>
      </c>
      <c r="D40" s="36" t="s">
        <v>98</v>
      </c>
      <c r="E40" s="28" t="s">
        <v>99</v>
      </c>
      <c r="F40" s="28" t="s">
        <v>29</v>
      </c>
      <c r="G40" s="28"/>
      <c r="H40" s="28"/>
      <c r="I40" s="29"/>
      <c r="J40" s="30"/>
      <c r="K40" s="28"/>
    </row>
    <row r="41" spans="1:21" s="31" customFormat="1" ht="128.6" x14ac:dyDescent="0.35">
      <c r="A41" s="16">
        <v>40</v>
      </c>
      <c r="B41" s="16" t="s">
        <v>89</v>
      </c>
      <c r="C41" s="16" t="s">
        <v>90</v>
      </c>
      <c r="D41" s="36" t="s">
        <v>100</v>
      </c>
      <c r="E41" s="28" t="s">
        <v>101</v>
      </c>
      <c r="F41" s="28" t="s">
        <v>29</v>
      </c>
      <c r="G41" s="28"/>
      <c r="H41" s="28"/>
      <c r="I41" s="29"/>
      <c r="J41" s="30"/>
      <c r="K41" s="28"/>
    </row>
    <row r="42" spans="1:21" s="31" customFormat="1" ht="141.44999999999999" x14ac:dyDescent="0.35">
      <c r="A42" s="16">
        <v>41</v>
      </c>
      <c r="B42" s="16" t="s">
        <v>89</v>
      </c>
      <c r="C42" s="16" t="s">
        <v>90</v>
      </c>
      <c r="D42" s="36" t="s">
        <v>102</v>
      </c>
      <c r="E42" s="28" t="s">
        <v>55</v>
      </c>
      <c r="F42" s="28" t="s">
        <v>177</v>
      </c>
      <c r="G42" s="28"/>
      <c r="H42" s="28"/>
      <c r="I42" s="29"/>
      <c r="J42" s="30"/>
      <c r="K42" s="28"/>
    </row>
    <row r="43" spans="1:21" s="31" customFormat="1" ht="154.30000000000001" x14ac:dyDescent="0.35">
      <c r="A43" s="16">
        <v>42</v>
      </c>
      <c r="B43" s="16" t="s">
        <v>89</v>
      </c>
      <c r="C43" s="16" t="s">
        <v>90</v>
      </c>
      <c r="D43" s="36" t="s">
        <v>103</v>
      </c>
      <c r="E43" s="28" t="s">
        <v>77</v>
      </c>
      <c r="F43" s="28" t="s">
        <v>78</v>
      </c>
      <c r="G43" s="28"/>
      <c r="H43" s="28"/>
      <c r="I43" s="29"/>
      <c r="J43" s="30"/>
      <c r="K43" s="28"/>
    </row>
    <row r="44" spans="1:21" s="31" customFormat="1" ht="180" x14ac:dyDescent="0.35">
      <c r="A44" s="16">
        <v>43</v>
      </c>
      <c r="B44" s="16" t="s">
        <v>89</v>
      </c>
      <c r="C44" s="16" t="s">
        <v>90</v>
      </c>
      <c r="D44" s="36" t="s">
        <v>105</v>
      </c>
      <c r="E44" s="28" t="s">
        <v>79</v>
      </c>
      <c r="F44" s="28" t="s">
        <v>80</v>
      </c>
      <c r="G44" s="28"/>
      <c r="H44" s="28"/>
      <c r="I44" s="29"/>
      <c r="J44" s="30"/>
      <c r="K44" s="28"/>
    </row>
    <row r="45" spans="1:21" s="31" customFormat="1" ht="167.15" x14ac:dyDescent="0.35">
      <c r="A45" s="16">
        <v>44</v>
      </c>
      <c r="B45" s="16" t="s">
        <v>89</v>
      </c>
      <c r="C45" s="16" t="s">
        <v>90</v>
      </c>
      <c r="D45" s="36" t="s">
        <v>160</v>
      </c>
      <c r="E45" s="28" t="s">
        <v>162</v>
      </c>
      <c r="F45" s="28" t="s">
        <v>178</v>
      </c>
      <c r="G45" s="28"/>
      <c r="H45" s="28"/>
      <c r="I45" s="29"/>
      <c r="J45" s="30"/>
      <c r="K45" s="28"/>
    </row>
    <row r="46" spans="1:21" s="31" customFormat="1" ht="167.15" x14ac:dyDescent="0.35">
      <c r="A46" s="16">
        <v>45</v>
      </c>
      <c r="B46" s="16" t="s">
        <v>89</v>
      </c>
      <c r="C46" s="16" t="s">
        <v>90</v>
      </c>
      <c r="D46" s="36" t="s">
        <v>161</v>
      </c>
      <c r="E46" s="28" t="s">
        <v>163</v>
      </c>
      <c r="F46" s="28" t="s">
        <v>164</v>
      </c>
      <c r="G46" s="28"/>
      <c r="H46" s="28"/>
      <c r="I46" s="29"/>
      <c r="J46" s="30"/>
      <c r="K46" s="28"/>
    </row>
    <row r="47" spans="1:21" s="31" customFormat="1" ht="167.15" x14ac:dyDescent="0.35">
      <c r="A47" s="16">
        <v>46</v>
      </c>
      <c r="B47" s="16" t="s">
        <v>89</v>
      </c>
      <c r="C47" s="16" t="s">
        <v>90</v>
      </c>
      <c r="D47" s="36" t="s">
        <v>165</v>
      </c>
      <c r="E47" s="28" t="s">
        <v>166</v>
      </c>
      <c r="F47" s="28" t="s">
        <v>164</v>
      </c>
      <c r="G47" s="28"/>
      <c r="H47" s="28"/>
      <c r="I47" s="29"/>
      <c r="J47" s="30"/>
      <c r="K47" s="28"/>
    </row>
    <row r="48" spans="1:21" s="33" customFormat="1" ht="192.9" x14ac:dyDescent="0.35">
      <c r="A48" s="17">
        <v>47</v>
      </c>
      <c r="B48" s="17" t="s">
        <v>107</v>
      </c>
      <c r="C48" s="17" t="s">
        <v>90</v>
      </c>
      <c r="D48" s="34" t="s">
        <v>40</v>
      </c>
      <c r="E48" s="19" t="s">
        <v>44</v>
      </c>
      <c r="F48" s="19" t="s">
        <v>112</v>
      </c>
      <c r="G48" s="19"/>
      <c r="H48" s="19"/>
      <c r="I48" s="18"/>
      <c r="J48" s="32"/>
      <c r="K48" s="19"/>
      <c r="L48" s="19"/>
      <c r="M48" s="19"/>
      <c r="N48" s="19"/>
      <c r="O48" s="19"/>
      <c r="P48" s="19"/>
      <c r="Q48" s="19"/>
      <c r="R48" s="19"/>
      <c r="S48" s="19"/>
      <c r="T48" s="19"/>
      <c r="U48" s="19"/>
    </row>
    <row r="49" spans="1:21" s="33" customFormat="1" ht="115.75" x14ac:dyDescent="0.35">
      <c r="A49" s="17">
        <v>48</v>
      </c>
      <c r="B49" s="17" t="s">
        <v>107</v>
      </c>
      <c r="C49" s="17" t="s">
        <v>90</v>
      </c>
      <c r="D49" s="34" t="s">
        <v>41</v>
      </c>
      <c r="E49" s="19" t="s">
        <v>45</v>
      </c>
      <c r="F49" s="19" t="s">
        <v>143</v>
      </c>
      <c r="G49" s="19"/>
      <c r="H49" s="19"/>
      <c r="I49" s="18"/>
      <c r="J49" s="32"/>
      <c r="K49" s="19"/>
      <c r="L49" s="19"/>
      <c r="M49" s="19"/>
      <c r="N49" s="19"/>
      <c r="O49" s="19"/>
      <c r="P49" s="19"/>
      <c r="Q49" s="19"/>
      <c r="R49" s="19"/>
      <c r="S49" s="19"/>
      <c r="T49" s="19"/>
      <c r="U49" s="19"/>
    </row>
    <row r="50" spans="1:21" s="33" customFormat="1" ht="165.45" customHeight="1" x14ac:dyDescent="0.35">
      <c r="A50" s="17">
        <v>49</v>
      </c>
      <c r="B50" s="17" t="s">
        <v>107</v>
      </c>
      <c r="C50" s="17" t="s">
        <v>90</v>
      </c>
      <c r="D50" s="34" t="s">
        <v>42</v>
      </c>
      <c r="E50" s="19" t="s">
        <v>46</v>
      </c>
      <c r="F50" s="19" t="s">
        <v>143</v>
      </c>
      <c r="G50" s="19"/>
      <c r="H50" s="19"/>
      <c r="I50" s="18"/>
      <c r="J50" s="32"/>
      <c r="K50" s="19"/>
      <c r="L50" s="19"/>
      <c r="M50" s="19"/>
      <c r="N50" s="19"/>
      <c r="O50" s="19"/>
      <c r="P50" s="19"/>
      <c r="Q50" s="19"/>
      <c r="R50" s="19"/>
      <c r="S50" s="19"/>
      <c r="T50" s="19"/>
      <c r="U50" s="19"/>
    </row>
    <row r="51" spans="1:21" s="33" customFormat="1" ht="102.9" x14ac:dyDescent="0.35">
      <c r="A51" s="17">
        <v>50</v>
      </c>
      <c r="B51" s="17" t="s">
        <v>107</v>
      </c>
      <c r="C51" s="17" t="s">
        <v>90</v>
      </c>
      <c r="D51" s="34" t="s">
        <v>43</v>
      </c>
      <c r="E51" s="19" t="s">
        <v>47</v>
      </c>
      <c r="F51" s="19" t="s">
        <v>82</v>
      </c>
      <c r="G51" s="19"/>
      <c r="H51" s="19"/>
      <c r="I51" s="18"/>
      <c r="J51" s="32"/>
      <c r="K51" s="19"/>
      <c r="L51" s="19"/>
      <c r="M51" s="19"/>
      <c r="N51" s="19"/>
      <c r="O51" s="19"/>
      <c r="P51" s="19"/>
      <c r="Q51" s="19"/>
      <c r="R51" s="19"/>
      <c r="S51" s="19"/>
      <c r="T51" s="19"/>
      <c r="U51" s="19"/>
    </row>
    <row r="52" spans="1:21" s="33" customFormat="1" ht="180" x14ac:dyDescent="0.35">
      <c r="A52" s="17">
        <v>51</v>
      </c>
      <c r="B52" s="17" t="s">
        <v>107</v>
      </c>
      <c r="C52" s="17" t="s">
        <v>90</v>
      </c>
      <c r="D52" s="34" t="s">
        <v>18</v>
      </c>
      <c r="E52" s="19" t="s">
        <v>48</v>
      </c>
      <c r="F52" s="19" t="s">
        <v>83</v>
      </c>
      <c r="G52" s="19"/>
      <c r="H52" s="19"/>
      <c r="I52" s="18"/>
      <c r="J52" s="32"/>
      <c r="K52" s="19"/>
      <c r="L52" s="19"/>
      <c r="M52" s="19"/>
      <c r="N52" s="19"/>
      <c r="O52" s="19"/>
      <c r="P52" s="19"/>
      <c r="Q52" s="19"/>
      <c r="R52" s="19"/>
      <c r="S52" s="19"/>
      <c r="T52" s="19"/>
      <c r="U52" s="19"/>
    </row>
    <row r="53" spans="1:21" s="19" customFormat="1" ht="167.15" x14ac:dyDescent="0.35">
      <c r="A53" s="17">
        <v>52</v>
      </c>
      <c r="B53" s="17" t="s">
        <v>107</v>
      </c>
      <c r="C53" s="17" t="s">
        <v>90</v>
      </c>
      <c r="D53" s="34" t="s">
        <v>19</v>
      </c>
      <c r="E53" s="19" t="s">
        <v>49</v>
      </c>
      <c r="F53" s="19" t="s">
        <v>108</v>
      </c>
      <c r="I53" s="18"/>
      <c r="J53" s="32"/>
    </row>
    <row r="54" spans="1:21" s="19" customFormat="1" ht="141.44999999999999" x14ac:dyDescent="0.35">
      <c r="A54" s="17">
        <v>53</v>
      </c>
      <c r="B54" s="17" t="s">
        <v>107</v>
      </c>
      <c r="C54" s="17" t="s">
        <v>90</v>
      </c>
      <c r="D54" s="34" t="s">
        <v>20</v>
      </c>
      <c r="E54" s="19" t="s">
        <v>50</v>
      </c>
      <c r="F54" s="19" t="s">
        <v>111</v>
      </c>
      <c r="I54" s="18"/>
      <c r="J54" s="32"/>
    </row>
    <row r="55" spans="1:21" s="19" customFormat="1" ht="141.44999999999999" x14ac:dyDescent="0.35">
      <c r="A55" s="17">
        <v>54</v>
      </c>
      <c r="B55" s="17" t="s">
        <v>107</v>
      </c>
      <c r="C55" s="17" t="s">
        <v>90</v>
      </c>
      <c r="D55" s="34" t="s">
        <v>21</v>
      </c>
      <c r="E55" s="19" t="s">
        <v>51</v>
      </c>
      <c r="F55" s="19" t="s">
        <v>110</v>
      </c>
      <c r="I55" s="18"/>
      <c r="J55" s="32"/>
    </row>
    <row r="56" spans="1:21" s="19" customFormat="1" ht="180" x14ac:dyDescent="0.35">
      <c r="A56" s="17">
        <v>55</v>
      </c>
      <c r="B56" s="17" t="s">
        <v>107</v>
      </c>
      <c r="C56" s="17" t="s">
        <v>90</v>
      </c>
      <c r="D56" s="34" t="s">
        <v>22</v>
      </c>
      <c r="E56" s="19" t="s">
        <v>52</v>
      </c>
      <c r="F56" s="19" t="s">
        <v>109</v>
      </c>
      <c r="I56" s="18"/>
      <c r="J56" s="32"/>
    </row>
    <row r="57" spans="1:21" s="19" customFormat="1" ht="180" x14ac:dyDescent="0.35">
      <c r="A57" s="17">
        <v>56</v>
      </c>
      <c r="B57" s="17" t="s">
        <v>107</v>
      </c>
      <c r="C57" s="17" t="s">
        <v>90</v>
      </c>
      <c r="D57" s="34" t="s">
        <v>23</v>
      </c>
      <c r="E57" s="19" t="s">
        <v>53</v>
      </c>
      <c r="F57" s="19" t="s">
        <v>153</v>
      </c>
      <c r="I57" s="18"/>
      <c r="J57" s="32"/>
    </row>
    <row r="58" spans="1:21" s="39" customFormat="1" ht="167.15" x14ac:dyDescent="0.35">
      <c r="A58" s="37">
        <v>57</v>
      </c>
      <c r="B58" s="37" t="s">
        <v>107</v>
      </c>
      <c r="C58" s="37" t="s">
        <v>90</v>
      </c>
      <c r="D58" s="38" t="s">
        <v>24</v>
      </c>
      <c r="E58" s="39" t="s">
        <v>54</v>
      </c>
      <c r="F58" s="39" t="s">
        <v>113</v>
      </c>
      <c r="I58" s="40"/>
      <c r="J58" s="41"/>
    </row>
  </sheetData>
  <autoFilter ref="A1:L58" xr:uid="{00000000-0009-0000-0000-000000000000}"/>
  <dataValidations count="2">
    <dataValidation type="list" allowBlank="1" showInputMessage="1" showErrorMessage="1" sqref="I1:I58" xr:uid="{00000000-0002-0000-0000-000000000000}">
      <formula1>"PASS,FAIL,On Hold,InProgress,N/A"</formula1>
    </dataValidation>
    <dataValidation type="list" allowBlank="1" showInputMessage="1" showErrorMessage="1" sqref="H2:H58" xr:uid="{00000000-0002-0000-0000-00000100000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D12"/>
  <sheetViews>
    <sheetView workbookViewId="0">
      <selection activeCell="B18" sqref="B18"/>
    </sheetView>
  </sheetViews>
  <sheetFormatPr defaultRowHeight="14.6" x14ac:dyDescent="0.4"/>
  <cols>
    <col min="2" max="2" width="15.3828125" customWidth="1"/>
    <col min="3" max="3" width="16.3828125" style="1" customWidth="1"/>
    <col min="4" max="4" width="18.3828125" style="2" customWidth="1"/>
  </cols>
  <sheetData>
    <row r="1" spans="2:4" ht="15" thickBot="1" x14ac:dyDescent="0.45"/>
    <row r="2" spans="2:4" x14ac:dyDescent="0.4">
      <c r="B2" s="49" t="s">
        <v>12</v>
      </c>
      <c r="C2" s="50"/>
      <c r="D2" s="51"/>
    </row>
    <row r="3" spans="2:4" x14ac:dyDescent="0.4">
      <c r="B3" s="52"/>
      <c r="C3" s="53"/>
      <c r="D3" s="54"/>
    </row>
    <row r="4" spans="2:4" x14ac:dyDescent="0.4">
      <c r="B4" s="7"/>
      <c r="C4" s="3" t="s">
        <v>9</v>
      </c>
      <c r="D4" s="8" t="s">
        <v>11</v>
      </c>
    </row>
    <row r="5" spans="2:4" x14ac:dyDescent="0.4">
      <c r="B5" s="7" t="s">
        <v>8</v>
      </c>
      <c r="C5" s="14">
        <f>COUNTA('Booking Test Cases'!D:D)-1</f>
        <v>57</v>
      </c>
      <c r="D5" s="9"/>
    </row>
    <row r="6" spans="2:4" x14ac:dyDescent="0.4">
      <c r="B6" s="7" t="s">
        <v>5</v>
      </c>
      <c r="C6" s="5">
        <f>COUNTIF('Booking Test Cases'!$I:$I,"PASS")</f>
        <v>0</v>
      </c>
      <c r="D6" s="10">
        <f>C6/(C5-C11)</f>
        <v>0</v>
      </c>
    </row>
    <row r="7" spans="2:4" x14ac:dyDescent="0.4">
      <c r="B7" s="7" t="s">
        <v>6</v>
      </c>
      <c r="C7" s="6">
        <f>COUNTIF('Booking Test Cases'!$I:$I,"FAIL")</f>
        <v>0</v>
      </c>
      <c r="D7" s="11">
        <f>C7/(C5-C11)</f>
        <v>0</v>
      </c>
    </row>
    <row r="8" spans="2:4" x14ac:dyDescent="0.4">
      <c r="B8" s="7" t="s">
        <v>7</v>
      </c>
      <c r="C8" s="4">
        <f>COUNTIF('Booking Test Cases'!$I:$I,"On Hold")</f>
        <v>0</v>
      </c>
      <c r="D8" s="11">
        <f>C8/(C5-C11)</f>
        <v>0</v>
      </c>
    </row>
    <row r="9" spans="2:4" x14ac:dyDescent="0.4">
      <c r="B9" s="7" t="s">
        <v>10</v>
      </c>
      <c r="C9" s="4">
        <f>COUNTIF('Booking Test Cases'!$I:$I,"InProgress")</f>
        <v>0</v>
      </c>
      <c r="D9" s="11">
        <f>C9/(C5-C11)</f>
        <v>0</v>
      </c>
    </row>
    <row r="10" spans="2:4" x14ac:dyDescent="0.4">
      <c r="B10" s="12" t="s">
        <v>15</v>
      </c>
      <c r="C10" s="14">
        <f>C5-C6-C8-C9-C11</f>
        <v>57</v>
      </c>
      <c r="D10" s="11">
        <f>C10/(C5-C11)</f>
        <v>1</v>
      </c>
    </row>
    <row r="11" spans="2:4" x14ac:dyDescent="0.4">
      <c r="B11" s="12" t="s">
        <v>13</v>
      </c>
      <c r="C11" s="4">
        <f>COUNTIF('Booking Test Cases'!$I:$I,"N/A")</f>
        <v>0</v>
      </c>
      <c r="D11" s="11"/>
    </row>
    <row r="12" spans="2:4" x14ac:dyDescent="0.4">
      <c r="B12" s="13"/>
      <c r="C12" s="14"/>
      <c r="D12" s="11"/>
    </row>
  </sheetData>
  <mergeCells count="1">
    <mergeCell ref="B2:D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7f39f94-a4ac-44af-b96b-485a7e72605f" ContentTypeId="0x010100546101F9072D004891A9A502D484E3C4"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Expedia SP2010 Document" ma:contentTypeID="0x010100546101F9072D004891A9A502D484E3C40051E982E10999D34F89798EE1066A57FB" ma:contentTypeVersion="1" ma:contentTypeDescription="" ma:contentTypeScope="" ma:versionID="e47aa5214852fbfae76685edf7f693bf">
  <xsd:schema xmlns:xsd="http://www.w3.org/2001/XMLSchema" xmlns:xs="http://www.w3.org/2001/XMLSchema" xmlns:p="http://schemas.microsoft.com/office/2006/metadata/properties" xmlns:ns2="d6bf1584-fbb4-4961-9983-49a8fa33d0d5" xmlns:ns3="97ae4694-c01e-4c02-98d6-ec5ba5586a2f" targetNamespace="http://schemas.microsoft.com/office/2006/metadata/properties" ma:root="true" ma:fieldsID="80be87d4de4e90eae5c5d90d8f4eebcd" ns2:_="" ns3:_="">
    <xsd:import namespace="d6bf1584-fbb4-4961-9983-49a8fa33d0d5"/>
    <xsd:import namespace="97ae4694-c01e-4c02-98d6-ec5ba5586a2f"/>
    <xsd:element name="properties">
      <xsd:complexType>
        <xsd:sequence>
          <xsd:element name="documentManagement">
            <xsd:complexType>
              <xsd:all>
                <xsd:element ref="ns3:Subject_x0020_Type" minOccurs="0"/>
                <xsd:element ref="ns2:TaxKeywordTaxHTField" minOccurs="0"/>
                <xsd:element ref="ns2:TaxCatchAll" minOccurs="0"/>
                <xsd:element ref="ns2:TaxCatchAllLabe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bf1584-fbb4-4961-9983-49a8fa33d0d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a8a60cd5-7fdb-4ec5-a6b0-7d31fb0e59f9"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03d1a01d-0255-48f3-9de0-79bd101f59cd}" ma:internalName="TaxCatchAll" ma:showField="CatchAllData" ma:web="08b41de1-e60e-4a2d-84cb-49a8565c50b6">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03d1a01d-0255-48f3-9de0-79bd101f59cd}" ma:internalName="TaxCatchAllLabel" ma:readOnly="true" ma:showField="CatchAllDataLabel" ma:web="08b41de1-e60e-4a2d-84cb-49a8565c50b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ae4694-c01e-4c02-98d6-ec5ba5586a2f" elementFormDefault="qualified">
    <xsd:import namespace="http://schemas.microsoft.com/office/2006/documentManagement/types"/>
    <xsd:import namespace="http://schemas.microsoft.com/office/infopath/2007/PartnerControls"/>
    <xsd:element name="Subject_x0020_Type" ma:index="3" nillable="true" ma:displayName="Subject Type" ma:format="Dropdown" ma:internalName="Subject_x0020_Type">
      <xsd:simpleType>
        <xsd:restriction base="dms:Choice">
          <xsd:enumeration value="Application"/>
          <xsd:enumeration value="Community"/>
          <xsd:enumeration value="Company"/>
          <xsd:enumeration value="Department"/>
          <xsd:enumeration value="Help and Support"/>
          <xsd:enumeration value="HR"/>
          <xsd:enumeration value="Policy"/>
          <xsd:enumeration value="Procedure"/>
          <xsd:enumeration value="Project"/>
          <xsd:enumeration value="Trave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2"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ubject_x0020_Type xmlns="97ae4694-c01e-4c02-98d6-ec5ba5586a2f" xsi:nil="true"/>
    <TaxKeywordTaxHTField xmlns="d6bf1584-fbb4-4961-9983-49a8fa33d0d5">
      <Terms xmlns="http://schemas.microsoft.com/office/infopath/2007/PartnerControls"/>
    </TaxKeywordTaxHTField>
    <TaxCatchAll xmlns="d6bf1584-fbb4-4961-9983-49a8fa33d0d5"/>
  </documentManagement>
</p:properties>
</file>

<file path=customXml/itemProps1.xml><?xml version="1.0" encoding="utf-8"?>
<ds:datastoreItem xmlns:ds="http://schemas.openxmlformats.org/officeDocument/2006/customXml" ds:itemID="{539F18C5-205B-4977-8025-8CC4B762DFCE}">
  <ds:schemaRefs>
    <ds:schemaRef ds:uri="Microsoft.SharePoint.Taxonomy.ContentTypeSync"/>
  </ds:schemaRefs>
</ds:datastoreItem>
</file>

<file path=customXml/itemProps2.xml><?xml version="1.0" encoding="utf-8"?>
<ds:datastoreItem xmlns:ds="http://schemas.openxmlformats.org/officeDocument/2006/customXml" ds:itemID="{7D2B4872-025A-4FB9-870E-7772CAED766A}">
  <ds:schemaRefs>
    <ds:schemaRef ds:uri="http://schemas.microsoft.com/sharepoint/v3/contenttype/forms"/>
  </ds:schemaRefs>
</ds:datastoreItem>
</file>

<file path=customXml/itemProps3.xml><?xml version="1.0" encoding="utf-8"?>
<ds:datastoreItem xmlns:ds="http://schemas.openxmlformats.org/officeDocument/2006/customXml" ds:itemID="{34AE69DE-821E-448C-A326-B539E8690F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bf1584-fbb4-4961-9983-49a8fa33d0d5"/>
    <ds:schemaRef ds:uri="97ae4694-c01e-4c02-98d6-ec5ba5586a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26B7384-631A-4636-AB20-4B0BC3345C82}">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97ae4694-c01e-4c02-98d6-ec5ba5586a2f"/>
    <ds:schemaRef ds:uri="d6bf1584-fbb4-4961-9983-49a8fa33d0d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Booking Test Cases</vt:lpstr>
      <vt:lpstr>Test Run Status</vt:lpstr>
    </vt:vector>
  </TitlesOfParts>
  <Company>Expedia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Expedia User</dc:creator>
  <cp:lastModifiedBy>Alma Kovac</cp:lastModifiedBy>
  <dcterms:created xsi:type="dcterms:W3CDTF">2012-10-31T13:23:34Z</dcterms:created>
  <dcterms:modified xsi:type="dcterms:W3CDTF">2019-02-27T13:01:58Z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0x010100546101F9072D004891A9A502D484E3C40051E982E10999D34F89798EE1066A57FB</vt:lpwstr>
  </property>
  <property fmtid="{D5CDD505-2E9C-101B-9397-08002B2CF9AE}" pid="3" name="TaxKeyword">
    <vt:lpwstr/>
  </property>
</Properties>
</file>